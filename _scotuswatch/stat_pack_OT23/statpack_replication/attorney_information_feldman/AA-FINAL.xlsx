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kramnarasimhan/Desktop/StatPack Files/StatPack Data/Test/"/>
    </mc:Choice>
  </mc:AlternateContent>
  <xr:revisionPtr revIDLastSave="0" documentId="8_{C10CDF8A-D3B2-6C44-A063-4CB6213C6652}" xr6:coauthVersionLast="47" xr6:coauthVersionMax="47" xr10:uidLastSave="{00000000-0000-0000-0000-000000000000}"/>
  <bookViews>
    <workbookView xWindow="0" yWindow="500" windowWidth="28740" windowHeight="16300" xr2:uid="{FBE38F41-1535-1943-ACE3-5ADE80261526}"/>
  </bookViews>
  <sheets>
    <sheet name="Attorney Analysi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1" i="5" l="1"/>
  <c r="G100" i="5"/>
  <c r="G99" i="5"/>
  <c r="G98" i="5"/>
  <c r="G97" i="5"/>
  <c r="G96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21" i="5"/>
  <c r="G26" i="5"/>
  <c r="G20" i="5"/>
  <c r="G32" i="5"/>
  <c r="G27" i="5"/>
  <c r="G35" i="5"/>
  <c r="G25" i="5"/>
  <c r="G34" i="5"/>
  <c r="G19" i="5"/>
  <c r="G22" i="5"/>
  <c r="G29" i="5"/>
  <c r="G28" i="5"/>
  <c r="G31" i="5"/>
  <c r="G18" i="5"/>
  <c r="G24" i="5"/>
  <c r="G33" i="5"/>
  <c r="G23" i="5"/>
  <c r="G30" i="5"/>
  <c r="G36" i="5"/>
  <c r="G37" i="5"/>
  <c r="G38" i="5"/>
  <c r="G39" i="5"/>
  <c r="G40" i="5"/>
  <c r="G41" i="5"/>
  <c r="G42" i="5"/>
  <c r="G43" i="5"/>
  <c r="G45" i="5"/>
  <c r="G44" i="5"/>
  <c r="G46" i="5"/>
  <c r="G47" i="5"/>
  <c r="G48" i="5"/>
  <c r="G51" i="5"/>
  <c r="G50" i="5"/>
  <c r="G49" i="5"/>
  <c r="G52" i="5"/>
  <c r="G53" i="5"/>
  <c r="G54" i="5"/>
  <c r="G55" i="5"/>
  <c r="G56" i="5"/>
  <c r="G57" i="5"/>
  <c r="G58" i="5"/>
  <c r="G63" i="5"/>
  <c r="G60" i="5"/>
  <c r="G59" i="5"/>
  <c r="G61" i="5"/>
  <c r="G67" i="5"/>
  <c r="G66" i="5"/>
  <c r="G62" i="5"/>
  <c r="G65" i="5"/>
  <c r="G64" i="5"/>
  <c r="G68" i="5"/>
  <c r="G70" i="5"/>
  <c r="G69" i="5"/>
  <c r="G71" i="5"/>
  <c r="G72" i="5"/>
  <c r="G75" i="5"/>
  <c r="G74" i="5"/>
  <c r="G76" i="5"/>
  <c r="G73" i="5"/>
  <c r="G77" i="5"/>
  <c r="G79" i="5"/>
  <c r="G83" i="5"/>
  <c r="G80" i="5"/>
  <c r="G78" i="5"/>
  <c r="G81" i="5"/>
  <c r="G82" i="5"/>
  <c r="G86" i="5"/>
  <c r="G90" i="5"/>
  <c r="G92" i="5"/>
  <c r="G84" i="5"/>
  <c r="G88" i="5"/>
  <c r="G89" i="5"/>
  <c r="G85" i="5"/>
  <c r="G87" i="5"/>
  <c r="G94" i="5"/>
  <c r="G93" i="5"/>
  <c r="G91" i="5"/>
  <c r="G95" i="5"/>
  <c r="G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tc={55B45132-04DF-44A9-978B-3ABDC6EAD390}</author>
  </authors>
  <commentList>
    <comment ref="F76" authorId="0" shapeId="0" xr:uid="{55B45132-04DF-44A9-978B-3ABDC6EAD3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Dad you told me Blatt worked in the SGs office... </t>
      </text>
    </comment>
  </commentList>
</comments>
</file>

<file path=xl/sharedStrings.xml><?xml version="1.0" encoding="utf-8"?>
<sst xmlns="http://schemas.openxmlformats.org/spreadsheetml/2006/main" count="1009" uniqueCount="295">
  <si>
    <t>Law School</t>
  </si>
  <si>
    <t>Harvard</t>
  </si>
  <si>
    <t>University of Chicago</t>
  </si>
  <si>
    <t>Yale</t>
  </si>
  <si>
    <t>University of Virginia</t>
  </si>
  <si>
    <t>University of Texas</t>
  </si>
  <si>
    <t>University of Michigan</t>
  </si>
  <si>
    <t>Stanford</t>
  </si>
  <si>
    <t>Georgetown University</t>
  </si>
  <si>
    <t>NYU</t>
  </si>
  <si>
    <t>George Mason University</t>
  </si>
  <si>
    <t>Duke</t>
  </si>
  <si>
    <t>UNC</t>
  </si>
  <si>
    <t>Northwestern University</t>
  </si>
  <si>
    <t>University of Miami</t>
  </si>
  <si>
    <t>Berkeley</t>
  </si>
  <si>
    <t>University of Utah</t>
  </si>
  <si>
    <t>Liberty University</t>
  </si>
  <si>
    <t>University of California, Berkeley</t>
  </si>
  <si>
    <t>LSU</t>
  </si>
  <si>
    <t>University of Minnesota</t>
  </si>
  <si>
    <t>Michigan State University</t>
  </si>
  <si>
    <t>Case Western Reserve University</t>
  </si>
  <si>
    <t>Yeshiva University</t>
  </si>
  <si>
    <t>University of Arkansas</t>
  </si>
  <si>
    <t>Arizona State University</t>
  </si>
  <si>
    <t xml:space="preserve">Emory </t>
  </si>
  <si>
    <t>Columbia University</t>
  </si>
  <si>
    <t>Boston University</t>
  </si>
  <si>
    <t>Santa Clara University</t>
  </si>
  <si>
    <t>George Washington University</t>
  </si>
  <si>
    <t>St. Mary's University</t>
  </si>
  <si>
    <t>Brooklyn Law School</t>
  </si>
  <si>
    <t>Cornell University</t>
  </si>
  <si>
    <t xml:space="preserve">Howard </t>
  </si>
  <si>
    <t>UC Davis</t>
  </si>
  <si>
    <t>Notre Dame</t>
  </si>
  <si>
    <t>UG School</t>
  </si>
  <si>
    <t>Columbia</t>
  </si>
  <si>
    <t>Georgetown</t>
  </si>
  <si>
    <t>Princeton University</t>
  </si>
  <si>
    <t>University of Pennsylvania</t>
  </si>
  <si>
    <t>University of Pittsburgh</t>
  </si>
  <si>
    <t>William &amp; Mary</t>
  </si>
  <si>
    <t>Dartmouth</t>
  </si>
  <si>
    <t>Dartmouth University</t>
  </si>
  <si>
    <t>University of Southern California</t>
  </si>
  <si>
    <t>Northwestern</t>
  </si>
  <si>
    <t>UW Madison</t>
  </si>
  <si>
    <t>Birmingham-Southern College</t>
  </si>
  <si>
    <t>UC Santa Cruz</t>
  </si>
  <si>
    <t>Loyola University</t>
  </si>
  <si>
    <t>Georgia Tech</t>
  </si>
  <si>
    <t>Middlebury College</t>
  </si>
  <si>
    <t>Louisiana State University</t>
  </si>
  <si>
    <t>MIT</t>
  </si>
  <si>
    <t>UIUC</t>
  </si>
  <si>
    <t>Baylor University</t>
  </si>
  <si>
    <t>Case Western</t>
  </si>
  <si>
    <t>Ohio Wesleyan University</t>
  </si>
  <si>
    <t>Wesleyan University</t>
  </si>
  <si>
    <t>Patrick Henry College</t>
  </si>
  <si>
    <t>UC San Diego</t>
  </si>
  <si>
    <t>Emory University</t>
  </si>
  <si>
    <t>UCLA</t>
  </si>
  <si>
    <t>Amherst College</t>
  </si>
  <si>
    <t>Brigham &amp; Young</t>
  </si>
  <si>
    <t>St. Andrews</t>
  </si>
  <si>
    <t>Brown University</t>
  </si>
  <si>
    <t>Clarkson University</t>
  </si>
  <si>
    <t>Stanford University</t>
  </si>
  <si>
    <t xml:space="preserve">Stanford University </t>
  </si>
  <si>
    <t>Washington &amp; Lee University</t>
  </si>
  <si>
    <t>Texas A &amp; M</t>
  </si>
  <si>
    <t>Lehigh University</t>
  </si>
  <si>
    <t>UC Boulder</t>
  </si>
  <si>
    <t>Pomona</t>
  </si>
  <si>
    <t>Princeton</t>
  </si>
  <si>
    <t>Gender</t>
  </si>
  <si>
    <t>Female</t>
  </si>
  <si>
    <t>Male</t>
  </si>
  <si>
    <t xml:space="preserve">Male </t>
  </si>
  <si>
    <t>SG Experience</t>
  </si>
  <si>
    <t>Y</t>
  </si>
  <si>
    <t>Attorney Name</t>
  </si>
  <si>
    <t>SHAY DVORETZKY</t>
  </si>
  <si>
    <t>FREDERICK LIU</t>
  </si>
  <si>
    <t>ELIZABETH B. PRELOGAR</t>
  </si>
  <si>
    <t>NOEL J. FRANCISCO</t>
  </si>
  <si>
    <t>ADAM G. UNIKOWSKY</t>
  </si>
  <si>
    <t>ERICA L. ROSS</t>
  </si>
  <si>
    <t>KELSI B. CORKRAN</t>
  </si>
  <si>
    <t>EASHA ANAND</t>
  </si>
  <si>
    <t>ANTHONY A. YANG</t>
  </si>
  <si>
    <t>EUGENE SCALIA</t>
  </si>
  <si>
    <t>JOHN M. GORE</t>
  </si>
  <si>
    <t>LEAH C. ADEN,</t>
  </si>
  <si>
    <t>CAROLINE A. FLYNN</t>
  </si>
  <si>
    <t>JEFFREY B. WALL</t>
  </si>
  <si>
    <t>HOWARD J. BASHMAN</t>
  </si>
  <si>
    <t>SCOTUS Clerkship ?</t>
  </si>
  <si>
    <t>Clerkship Justice</t>
  </si>
  <si>
    <t>Presently in SGOffice (Y/N)</t>
  </si>
  <si>
    <t xml:space="preserve">Previously in SG Office? </t>
  </si>
  <si>
    <t>Current Firm</t>
  </si>
  <si>
    <t>State</t>
  </si>
  <si>
    <t>JASON D. LEWIS</t>
  </si>
  <si>
    <t>N</t>
  </si>
  <si>
    <t>N/A</t>
  </si>
  <si>
    <t>AZ AG Office</t>
  </si>
  <si>
    <t>AZ</t>
  </si>
  <si>
    <t>Sotomayor</t>
  </si>
  <si>
    <t>Stanford Law School</t>
  </si>
  <si>
    <t>CA</t>
  </si>
  <si>
    <t>DAVID J. HARRIS, JR</t>
  </si>
  <si>
    <t>Harris LLP</t>
  </si>
  <si>
    <t>VIVEK SURI</t>
  </si>
  <si>
    <t>SG Office</t>
  </si>
  <si>
    <t>DC</t>
  </si>
  <si>
    <t>GADEIR ABBAS</t>
  </si>
  <si>
    <t>Council on American Islamic Relations</t>
  </si>
  <si>
    <t>MATTHEW GUARNIERI</t>
  </si>
  <si>
    <t>PAUL J. BEARD, II</t>
  </si>
  <si>
    <t>Pierson Ferdinand</t>
  </si>
  <si>
    <t>MICHAEL R. DREEBEN</t>
  </si>
  <si>
    <t>Special Counsel</t>
  </si>
  <si>
    <t>TRACI L. LOVITT</t>
  </si>
  <si>
    <t>Day O'Connor</t>
  </si>
  <si>
    <t>Jones Day</t>
  </si>
  <si>
    <t>Law Offices of Howard J. Bashman</t>
  </si>
  <si>
    <t>PA</t>
  </si>
  <si>
    <t>ANDREW M. GROSSMAN</t>
  </si>
  <si>
    <t>Baker Law</t>
  </si>
  <si>
    <t>BRYAN K. WEIR</t>
  </si>
  <si>
    <t>Consovoy</t>
  </si>
  <si>
    <t>GREGORY G. GARRE</t>
  </si>
  <si>
    <t>Latham Watkins</t>
  </si>
  <si>
    <t>E. JOSHUA ROSENKRANZ</t>
  </si>
  <si>
    <t>Brennan</t>
  </si>
  <si>
    <t>Orrick, Herrington &amp; Sutcliffe</t>
  </si>
  <si>
    <t>NY</t>
  </si>
  <si>
    <t>MISHA TSEYTLIN</t>
  </si>
  <si>
    <t>Troutman Pepper</t>
  </si>
  <si>
    <t>WI</t>
  </si>
  <si>
    <t>NANDAN M. JOSHI</t>
  </si>
  <si>
    <t>Public Citizen</t>
  </si>
  <si>
    <t>ALEXANDER W. SAMUELS</t>
  </si>
  <si>
    <t>COLLEEN R. SINZDAK</t>
  </si>
  <si>
    <t>Roberts</t>
  </si>
  <si>
    <t>AILEEN M. MCGRATH</t>
  </si>
  <si>
    <t>Breyer</t>
  </si>
  <si>
    <t>Akin Gump</t>
  </si>
  <si>
    <t>JESSICA L. ELLSWORTH</t>
  </si>
  <si>
    <t>Hogan Lovells</t>
  </si>
  <si>
    <t>D. JOHN SAUER</t>
  </si>
  <si>
    <t>Scalia</t>
  </si>
  <si>
    <t>MO</t>
  </si>
  <si>
    <t>PAUL CLEMENT</t>
  </si>
  <si>
    <t>Clement &amp; Muprhy</t>
  </si>
  <si>
    <t>CHARLES L. MCCLOUD</t>
  </si>
  <si>
    <t>KANNON K. SHANMUGAM</t>
  </si>
  <si>
    <t>Paul Weiss</t>
  </si>
  <si>
    <t>Jenner &amp; Block</t>
  </si>
  <si>
    <t>BENJAMIN W. SNYDER</t>
  </si>
  <si>
    <t>Kagan, Ginsburg</t>
  </si>
  <si>
    <t>DANIEL L. GEYSER</t>
  </si>
  <si>
    <t>Haynes &amp; Boone</t>
  </si>
  <si>
    <t>CO</t>
  </si>
  <si>
    <t>JAIME A. SANTOS</t>
  </si>
  <si>
    <t>Goodwin</t>
  </si>
  <si>
    <t>AARON L. NIELSON</t>
  </si>
  <si>
    <t>Alito</t>
  </si>
  <si>
    <t>TX AG Office</t>
  </si>
  <si>
    <t>TX</t>
  </si>
  <si>
    <t>BRIAN WOLFMAN</t>
  </si>
  <si>
    <t>JONATHAN E. TAYLOR</t>
  </si>
  <si>
    <t>Gupta &amp; Wessler</t>
  </si>
  <si>
    <t>BRIAN H. FLETCHER</t>
  </si>
  <si>
    <t>Ginsburg</t>
  </si>
  <si>
    <t>HENRY C. WHITAKER</t>
  </si>
  <si>
    <t>Thomas</t>
  </si>
  <si>
    <t>FL SG Office</t>
  </si>
  <si>
    <t>FL</t>
  </si>
  <si>
    <t>YAIRA DUBIN</t>
  </si>
  <si>
    <t xml:space="preserve">Kagan </t>
  </si>
  <si>
    <t>Legal Defense Fund</t>
  </si>
  <si>
    <t>JOSHUA N. TURNER</t>
  </si>
  <si>
    <t>ID AG</t>
  </si>
  <si>
    <t>ID</t>
  </si>
  <si>
    <t>BENJAMIN AGUIÑAGA</t>
  </si>
  <si>
    <t>LA SG Office</t>
  </si>
  <si>
    <t>LA</t>
  </si>
  <si>
    <t>VICTORIA R. FERRES</t>
  </si>
  <si>
    <t>Port Huron</t>
  </si>
  <si>
    <t>MI</t>
  </si>
  <si>
    <t>HARI SANTHANAM</t>
  </si>
  <si>
    <t>Perkins Cole</t>
  </si>
  <si>
    <t>IL</t>
  </si>
  <si>
    <t>SOPAN JOSHI</t>
  </si>
  <si>
    <t>Scalia, Alito</t>
  </si>
  <si>
    <t>MEGAN M. WOLD</t>
  </si>
  <si>
    <t>Cooper &amp; Kirk</t>
  </si>
  <si>
    <t>ROBERT J. MCNAMARA</t>
  </si>
  <si>
    <t>Institure for Justice</t>
  </si>
  <si>
    <t>JOSHUA P. DAVIS</t>
  </si>
  <si>
    <t>Berger Montague</t>
  </si>
  <si>
    <t>THEANE D. EVANGELIS</t>
  </si>
  <si>
    <t>Gibson Dunn</t>
  </si>
  <si>
    <t>JENNIFER D. BENNETT</t>
  </si>
  <si>
    <t>S. MICHAEL MCCOLLOCH</t>
  </si>
  <si>
    <t>McColloch Law</t>
  </si>
  <si>
    <t>MASHA G. HANSFORD</t>
  </si>
  <si>
    <t>ERIC J. FEIGIN</t>
  </si>
  <si>
    <t>JEFFREY T. GREEN</t>
  </si>
  <si>
    <t>Sidley Austin</t>
  </si>
  <si>
    <t>JOE WESLEY EARNHARDT</t>
  </si>
  <si>
    <t>Cravath, Swaine, Moore</t>
  </si>
  <si>
    <t>RICHARD A. SIMPSON</t>
  </si>
  <si>
    <t>Wiley</t>
  </si>
  <si>
    <t>NC</t>
  </si>
  <si>
    <t>J. MATTHEW WRIGHT</t>
  </si>
  <si>
    <t>DOJ</t>
  </si>
  <si>
    <t>PRATIK A. SHAH</t>
  </si>
  <si>
    <t>MD</t>
  </si>
  <si>
    <t>AIMEE W. BROWN</t>
  </si>
  <si>
    <t>ALLYSON N. HO</t>
  </si>
  <si>
    <t xml:space="preserve">Sullivan &amp; Cromwell </t>
  </si>
  <si>
    <t>CURTIS E. GANNON</t>
  </si>
  <si>
    <t>C. KEVIN MARSHALL</t>
  </si>
  <si>
    <t>D. NICK HARPER</t>
  </si>
  <si>
    <t>Kavanaugh</t>
  </si>
  <si>
    <t>ROBERT M. LOEB</t>
  </si>
  <si>
    <t>Orick, Herrington</t>
  </si>
  <si>
    <t>Georgetown Law School</t>
  </si>
  <si>
    <t>JONATHAN F. MITCHELL</t>
  </si>
  <si>
    <t>Mitchell Law PLLC</t>
  </si>
  <si>
    <t>ANDREW ADLER</t>
  </si>
  <si>
    <t>FL State Public Defender</t>
  </si>
  <si>
    <t>JEFFREY L. FISHER</t>
  </si>
  <si>
    <t>Stevens</t>
  </si>
  <si>
    <t>O'Melveny</t>
  </si>
  <si>
    <t>LINDA T. COBERLY</t>
  </si>
  <si>
    <t>Winston &amp; Strawn</t>
  </si>
  <si>
    <t>ERIC T. LEE</t>
  </si>
  <si>
    <t>Diamante Law</t>
  </si>
  <si>
    <t>DAVID C. FREDERICK</t>
  </si>
  <si>
    <t>White</t>
  </si>
  <si>
    <t>Kellogg Hansen</t>
  </si>
  <si>
    <t>LISA S. BLATT</t>
  </si>
  <si>
    <t>Williams &amp; Connolly</t>
  </si>
  <si>
    <t>ANYA A. BIDWELL</t>
  </si>
  <si>
    <t>JEFFREY J. WECHSLER</t>
  </si>
  <si>
    <t>Montgomery &amp; Andrews</t>
  </si>
  <si>
    <t>NM</t>
  </si>
  <si>
    <t>EDWIN S. KNEEDLER</t>
  </si>
  <si>
    <t>NICOLE F. REAVES</t>
  </si>
  <si>
    <t>https://www.law.virginia.edu/uvalawyer/fall-2019/article/friends-court</t>
  </si>
  <si>
    <t>JEAN-CLAUDE ANDRE</t>
  </si>
  <si>
    <t>Bryan Cave Leighton Paisner</t>
  </si>
  <si>
    <t>AUSTIN RAYNOR</t>
  </si>
  <si>
    <t>LANORA C. PETTIT</t>
  </si>
  <si>
    <t>LLOYD B. MILLER</t>
  </si>
  <si>
    <t>Sonosky</t>
  </si>
  <si>
    <t>AK</t>
  </si>
  <si>
    <t>EDMUND G. LACOUR, JR.</t>
  </si>
  <si>
    <t>AL SG Office</t>
  </si>
  <si>
    <t>AL</t>
  </si>
  <si>
    <t>NEAL KATYAL</t>
  </si>
  <si>
    <t>ROMAN MARTINEZ</t>
  </si>
  <si>
    <t>ALLON KEDEM</t>
  </si>
  <si>
    <t>Kagan</t>
  </si>
  <si>
    <t>Arnold &amp; Porter</t>
  </si>
  <si>
    <t>MALCOLM L. STEWART</t>
  </si>
  <si>
    <t>ERIN M. HAWLEY</t>
  </si>
  <si>
    <t>Alliance Defending Freedom</t>
  </si>
  <si>
    <t>STEPHEN J. PETRANY</t>
  </si>
  <si>
    <t>GA AG Office</t>
  </si>
  <si>
    <t>GA</t>
  </si>
  <si>
    <t>Skadden, Arps, Slate, Meagher &amp; Flom LLP and Affiliates</t>
  </si>
  <si>
    <t>PAMELA S. KARLAN</t>
  </si>
  <si>
    <t>Blackmum</t>
  </si>
  <si>
    <t>STEVEN Y. YUROWITZ</t>
  </si>
  <si>
    <t>Newman &amp; Greenberg</t>
  </si>
  <si>
    <t>MATHURA J. SRIDHARAN</t>
  </si>
  <si>
    <t>DAVID D. COLE</t>
  </si>
  <si>
    <t>CATHERINE E. STETSON</t>
  </si>
  <si>
    <t>JUDITH N. VALE</t>
  </si>
  <si>
    <t>EPHRAIM MCDOWELL</t>
  </si>
  <si>
    <t>HASHIM M. MOOPPAN</t>
  </si>
  <si>
    <t>Ohio SG Office</t>
  </si>
  <si>
    <t>OH</t>
  </si>
  <si>
    <t>ACLU</t>
  </si>
  <si>
    <t>NY AG Office</t>
  </si>
  <si>
    <t>Hamilton College</t>
  </si>
  <si>
    <t>Harvard Law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</si>
</sst>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-Apple-System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1"/>
    <xf numFmtId="0" fontId="5" fillId="0" borderId="0" xfId="0" applyFon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kram Narasimhan" id="{8D256982-06AD-4AC7-8AE2-FB5E08C5A379}" userId="7674d92e26c6d77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6" dT="2024-05-28T01:59:15.29" personId="{8D256982-06AD-4AC7-8AE2-FB5E08C5A379}" id="{55B45132-04DF-44A9-978B-3ABDC6EAD390}">
    <text xml:space="preserve">Dad you told me Blatt worked in the SGs office...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law.virginia.edu/uvalawyer/fall-2019/article/friends-court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8A9A-92AD-4C57-9A99-936A2AC7E495}">
  <dimension ref="A1:O102"/>
  <sheetViews>
    <sheetView tabSelected="1" workbookViewId="0">
      <pane ySplit="1" topLeftCell="A2" activePane="bottomLeft" state="frozen"/>
      <selection pane="bottomLeft" activeCell="F1" sqref="F1"/>
    </sheetView>
  </sheetViews>
  <sheetFormatPr baseColWidth="10" defaultColWidth="11" defaultRowHeight="16"/>
  <cols>
    <col min="1" max="1" width="22" bestFit="1" customWidth="1"/>
    <col min="2" max="2" width="33.5" customWidth="1"/>
    <col min="3" max="3" width="17.33203125" bestFit="1" customWidth="1"/>
    <col min="4" max="4" width="14.5" bestFit="1" customWidth="1"/>
    <col min="5" max="5" width="23.33203125" bestFit="1" customWidth="1"/>
    <col min="6" max="6" width="21.5" bestFit="1" customWidth="1"/>
    <col min="7" max="7" width="21.5" customWidth="1"/>
    <col min="8" max="8" width="17" customWidth="1"/>
    <col min="9" max="9" width="5.5" bestFit="1" customWidth="1"/>
    <col min="10" max="10" width="7.33203125" bestFit="1" customWidth="1"/>
    <col min="11" max="11" width="18.5" bestFit="1" customWidth="1"/>
    <col min="12" max="12" width="29.6640625" customWidth="1"/>
    <col min="13" max="13" width="22.1640625" customWidth="1"/>
  </cols>
  <sheetData>
    <row r="1" spans="1:14">
      <c r="A1" t="s">
        <v>84</v>
      </c>
      <c r="B1" t="s">
        <v>0</v>
      </c>
      <c r="C1" t="s">
        <v>100</v>
      </c>
      <c r="D1" t="s">
        <v>101</v>
      </c>
      <c r="E1" t="s">
        <v>102</v>
      </c>
      <c r="F1" t="s">
        <v>103</v>
      </c>
      <c r="G1" t="s">
        <v>82</v>
      </c>
      <c r="H1" t="s">
        <v>104</v>
      </c>
      <c r="I1" t="s">
        <v>105</v>
      </c>
      <c r="J1" t="s">
        <v>78</v>
      </c>
      <c r="K1" t="s">
        <v>37</v>
      </c>
    </row>
    <row r="2" spans="1:14">
      <c r="A2" t="s">
        <v>106</v>
      </c>
      <c r="B2" t="s">
        <v>25</v>
      </c>
      <c r="C2" t="s">
        <v>107</v>
      </c>
      <c r="D2" t="s">
        <v>108</v>
      </c>
      <c r="E2" t="s">
        <v>107</v>
      </c>
      <c r="F2" t="s">
        <v>107</v>
      </c>
      <c r="G2" t="str">
        <f t="shared" ref="G2:G33" si="0">IF(OR(E2="Y", F2="Y"),"Y","N")</f>
        <v>N</v>
      </c>
      <c r="H2" t="s">
        <v>109</v>
      </c>
      <c r="I2" t="s">
        <v>110</v>
      </c>
      <c r="J2" t="s">
        <v>80</v>
      </c>
      <c r="K2" t="s">
        <v>25</v>
      </c>
      <c r="M2" s="3"/>
    </row>
    <row r="3" spans="1:14">
      <c r="A3" s="1" t="s">
        <v>92</v>
      </c>
      <c r="B3" t="s">
        <v>15</v>
      </c>
      <c r="C3" t="s">
        <v>83</v>
      </c>
      <c r="D3" t="s">
        <v>111</v>
      </c>
      <c r="E3" t="s">
        <v>107</v>
      </c>
      <c r="F3" t="s">
        <v>107</v>
      </c>
      <c r="G3" t="str">
        <f t="shared" si="0"/>
        <v>N</v>
      </c>
      <c r="H3" t="s">
        <v>112</v>
      </c>
      <c r="I3" t="s">
        <v>113</v>
      </c>
      <c r="J3" t="s">
        <v>79</v>
      </c>
      <c r="K3" t="s">
        <v>3</v>
      </c>
      <c r="M3" s="3"/>
    </row>
    <row r="4" spans="1:14">
      <c r="A4" t="s">
        <v>114</v>
      </c>
      <c r="B4" t="s">
        <v>28</v>
      </c>
      <c r="C4" t="s">
        <v>107</v>
      </c>
      <c r="D4" t="s">
        <v>108</v>
      </c>
      <c r="E4" t="s">
        <v>107</v>
      </c>
      <c r="F4" t="s">
        <v>107</v>
      </c>
      <c r="G4" t="str">
        <f t="shared" si="0"/>
        <v>N</v>
      </c>
      <c r="H4" t="s">
        <v>115</v>
      </c>
      <c r="I4" t="s">
        <v>113</v>
      </c>
      <c r="J4" t="s">
        <v>80</v>
      </c>
      <c r="K4" t="s">
        <v>28</v>
      </c>
      <c r="M4" s="3"/>
    </row>
    <row r="5" spans="1:14">
      <c r="A5" t="s">
        <v>116</v>
      </c>
      <c r="B5" t="s">
        <v>32</v>
      </c>
      <c r="C5" t="s">
        <v>107</v>
      </c>
      <c r="D5" t="s">
        <v>108</v>
      </c>
      <c r="E5" t="s">
        <v>83</v>
      </c>
      <c r="F5" t="s">
        <v>107</v>
      </c>
      <c r="G5" t="str">
        <f t="shared" si="0"/>
        <v>Y</v>
      </c>
      <c r="H5" t="s">
        <v>117</v>
      </c>
      <c r="I5" t="s">
        <v>118</v>
      </c>
      <c r="J5" t="s">
        <v>80</v>
      </c>
      <c r="K5" t="s">
        <v>69</v>
      </c>
      <c r="M5" s="3"/>
    </row>
    <row r="6" spans="1:14">
      <c r="A6" t="s">
        <v>119</v>
      </c>
      <c r="B6" t="s">
        <v>22</v>
      </c>
      <c r="C6" t="s">
        <v>107</v>
      </c>
      <c r="D6" t="s">
        <v>108</v>
      </c>
      <c r="E6" t="s">
        <v>107</v>
      </c>
      <c r="F6" t="s">
        <v>107</v>
      </c>
      <c r="G6" t="str">
        <f t="shared" si="0"/>
        <v>N</v>
      </c>
      <c r="H6" t="s">
        <v>120</v>
      </c>
      <c r="I6" t="s">
        <v>118</v>
      </c>
      <c r="J6" t="s">
        <v>80</v>
      </c>
      <c r="K6" t="s">
        <v>51</v>
      </c>
      <c r="M6" s="3"/>
    </row>
    <row r="7" spans="1:14">
      <c r="A7" t="s">
        <v>121</v>
      </c>
      <c r="B7" t="s">
        <v>27</v>
      </c>
      <c r="C7" t="s">
        <v>107</v>
      </c>
      <c r="D7" t="s">
        <v>108</v>
      </c>
      <c r="E7" t="s">
        <v>83</v>
      </c>
      <c r="F7" t="s">
        <v>83</v>
      </c>
      <c r="G7" t="str">
        <f t="shared" si="0"/>
        <v>Y</v>
      </c>
      <c r="H7" t="s">
        <v>117</v>
      </c>
      <c r="I7" t="s">
        <v>118</v>
      </c>
      <c r="J7" t="s">
        <v>80</v>
      </c>
      <c r="M7" s="3"/>
    </row>
    <row r="8" spans="1:14">
      <c r="A8" t="s">
        <v>122</v>
      </c>
      <c r="B8" t="s">
        <v>33</v>
      </c>
      <c r="C8" t="s">
        <v>107</v>
      </c>
      <c r="D8" t="s">
        <v>108</v>
      </c>
      <c r="E8" t="s">
        <v>107</v>
      </c>
      <c r="F8" t="s">
        <v>107</v>
      </c>
      <c r="G8" t="str">
        <f t="shared" si="0"/>
        <v>N</v>
      </c>
      <c r="H8" t="s">
        <v>123</v>
      </c>
      <c r="I8" t="s">
        <v>113</v>
      </c>
      <c r="J8" t="s">
        <v>80</v>
      </c>
      <c r="K8" t="s">
        <v>64</v>
      </c>
      <c r="M8" s="3"/>
    </row>
    <row r="9" spans="1:14">
      <c r="A9" t="s">
        <v>124</v>
      </c>
      <c r="B9" t="s">
        <v>11</v>
      </c>
      <c r="C9" t="s">
        <v>107</v>
      </c>
      <c r="D9" t="s">
        <v>108</v>
      </c>
      <c r="E9" t="s">
        <v>107</v>
      </c>
      <c r="F9" t="s">
        <v>83</v>
      </c>
      <c r="G9" t="str">
        <f t="shared" si="0"/>
        <v>Y</v>
      </c>
      <c r="H9" t="s">
        <v>125</v>
      </c>
      <c r="I9" t="s">
        <v>118</v>
      </c>
      <c r="J9" t="s">
        <v>80</v>
      </c>
      <c r="K9" t="s">
        <v>2</v>
      </c>
      <c r="M9" s="3"/>
    </row>
    <row r="10" spans="1:14">
      <c r="A10" t="s">
        <v>126</v>
      </c>
      <c r="B10" t="s">
        <v>11</v>
      </c>
      <c r="C10" t="s">
        <v>83</v>
      </c>
      <c r="D10" t="s">
        <v>127</v>
      </c>
      <c r="E10" t="s">
        <v>107</v>
      </c>
      <c r="F10" t="s">
        <v>107</v>
      </c>
      <c r="G10" t="str">
        <f t="shared" si="0"/>
        <v>N</v>
      </c>
      <c r="H10" t="s">
        <v>128</v>
      </c>
      <c r="I10" t="s">
        <v>118</v>
      </c>
      <c r="J10" t="s">
        <v>79</v>
      </c>
      <c r="K10" t="s">
        <v>5</v>
      </c>
      <c r="M10" s="3"/>
    </row>
    <row r="11" spans="1:14">
      <c r="A11" s="1" t="s">
        <v>99</v>
      </c>
      <c r="B11" t="s">
        <v>26</v>
      </c>
      <c r="C11" t="s">
        <v>107</v>
      </c>
      <c r="D11" t="s">
        <v>108</v>
      </c>
      <c r="E11" t="s">
        <v>107</v>
      </c>
      <c r="F11" t="s">
        <v>107</v>
      </c>
      <c r="G11" t="str">
        <f t="shared" si="0"/>
        <v>N</v>
      </c>
      <c r="H11" t="s">
        <v>129</v>
      </c>
      <c r="I11" t="s">
        <v>130</v>
      </c>
      <c r="J11" t="s">
        <v>81</v>
      </c>
      <c r="K11" t="s">
        <v>38</v>
      </c>
      <c r="M11" s="3"/>
    </row>
    <row r="12" spans="1:14">
      <c r="A12" t="s">
        <v>131</v>
      </c>
      <c r="B12" t="s">
        <v>10</v>
      </c>
      <c r="C12" t="s">
        <v>107</v>
      </c>
      <c r="D12" t="s">
        <v>108</v>
      </c>
      <c r="E12" t="s">
        <v>107</v>
      </c>
      <c r="F12" t="s">
        <v>107</v>
      </c>
      <c r="G12" t="str">
        <f t="shared" si="0"/>
        <v>N</v>
      </c>
      <c r="H12" t="s">
        <v>132</v>
      </c>
      <c r="I12" t="s">
        <v>118</v>
      </c>
      <c r="J12" t="s">
        <v>80</v>
      </c>
      <c r="K12" t="s">
        <v>45</v>
      </c>
      <c r="M12" s="3"/>
      <c r="N12" s="3"/>
    </row>
    <row r="13" spans="1:14">
      <c r="A13" t="s">
        <v>133</v>
      </c>
      <c r="B13" t="s">
        <v>10</v>
      </c>
      <c r="C13" t="s">
        <v>107</v>
      </c>
      <c r="D13" t="s">
        <v>108</v>
      </c>
      <c r="E13" t="s">
        <v>107</v>
      </c>
      <c r="F13" t="s">
        <v>107</v>
      </c>
      <c r="G13" t="str">
        <f t="shared" si="0"/>
        <v>N</v>
      </c>
      <c r="H13" t="s">
        <v>134</v>
      </c>
      <c r="I13" t="s">
        <v>118</v>
      </c>
      <c r="J13" t="s">
        <v>80</v>
      </c>
      <c r="K13" t="s">
        <v>39</v>
      </c>
      <c r="M13" s="3"/>
    </row>
    <row r="14" spans="1:14">
      <c r="A14" t="s">
        <v>135</v>
      </c>
      <c r="B14" t="s">
        <v>30</v>
      </c>
      <c r="C14" t="s">
        <v>107</v>
      </c>
      <c r="D14" t="s">
        <v>108</v>
      </c>
      <c r="E14" t="s">
        <v>107</v>
      </c>
      <c r="F14" t="s">
        <v>107</v>
      </c>
      <c r="G14" t="str">
        <f t="shared" si="0"/>
        <v>N</v>
      </c>
      <c r="H14" t="s">
        <v>136</v>
      </c>
      <c r="I14" t="s">
        <v>118</v>
      </c>
      <c r="J14" t="s">
        <v>80</v>
      </c>
      <c r="K14" t="s">
        <v>45</v>
      </c>
      <c r="M14" s="3"/>
    </row>
    <row r="15" spans="1:14">
      <c r="A15" t="s">
        <v>137</v>
      </c>
      <c r="B15" t="s">
        <v>8</v>
      </c>
      <c r="C15" t="s">
        <v>83</v>
      </c>
      <c r="D15" t="s">
        <v>138</v>
      </c>
      <c r="E15" t="s">
        <v>107</v>
      </c>
      <c r="F15" t="s">
        <v>107</v>
      </c>
      <c r="G15" t="str">
        <f t="shared" si="0"/>
        <v>N</v>
      </c>
      <c r="H15" t="s">
        <v>139</v>
      </c>
      <c r="I15" t="s">
        <v>140</v>
      </c>
      <c r="J15" t="s">
        <v>80</v>
      </c>
      <c r="K15" t="s">
        <v>58</v>
      </c>
      <c r="M15" s="3"/>
    </row>
    <row r="16" spans="1:14">
      <c r="A16" t="s">
        <v>141</v>
      </c>
      <c r="B16" t="s">
        <v>8</v>
      </c>
      <c r="C16" t="s">
        <v>107</v>
      </c>
      <c r="D16" t="s">
        <v>108</v>
      </c>
      <c r="E16" t="s">
        <v>107</v>
      </c>
      <c r="F16" t="s">
        <v>107</v>
      </c>
      <c r="G16" t="str">
        <f t="shared" si="0"/>
        <v>N</v>
      </c>
      <c r="H16" t="s">
        <v>142</v>
      </c>
      <c r="I16" t="s">
        <v>143</v>
      </c>
      <c r="J16" t="s">
        <v>80</v>
      </c>
      <c r="K16" t="s">
        <v>65</v>
      </c>
      <c r="M16" s="3"/>
    </row>
    <row r="17" spans="1:14">
      <c r="A17" t="s">
        <v>144</v>
      </c>
      <c r="B17" t="s">
        <v>8</v>
      </c>
      <c r="C17" t="s">
        <v>107</v>
      </c>
      <c r="D17" t="s">
        <v>108</v>
      </c>
      <c r="E17" t="s">
        <v>107</v>
      </c>
      <c r="F17" t="s">
        <v>83</v>
      </c>
      <c r="G17" t="str">
        <f t="shared" si="0"/>
        <v>Y</v>
      </c>
      <c r="H17" t="s">
        <v>145</v>
      </c>
      <c r="I17" t="s">
        <v>118</v>
      </c>
      <c r="J17" t="s">
        <v>80</v>
      </c>
      <c r="K17" t="s">
        <v>54</v>
      </c>
      <c r="M17" s="3"/>
    </row>
    <row r="18" spans="1:14">
      <c r="A18" t="s">
        <v>170</v>
      </c>
      <c r="B18" t="s">
        <v>1</v>
      </c>
      <c r="C18" t="s">
        <v>83</v>
      </c>
      <c r="D18" t="s">
        <v>171</v>
      </c>
      <c r="E18" t="s">
        <v>107</v>
      </c>
      <c r="F18" t="s">
        <v>107</v>
      </c>
      <c r="G18" t="str">
        <f t="shared" si="0"/>
        <v>N</v>
      </c>
      <c r="H18" t="s">
        <v>172</v>
      </c>
      <c r="I18" t="s">
        <v>173</v>
      </c>
      <c r="J18" t="s">
        <v>80</v>
      </c>
      <c r="K18" t="s">
        <v>41</v>
      </c>
      <c r="M18" s="3"/>
    </row>
    <row r="19" spans="1:14">
      <c r="A19" s="1" t="s">
        <v>89</v>
      </c>
      <c r="B19" t="s">
        <v>1</v>
      </c>
      <c r="C19" t="s">
        <v>83</v>
      </c>
      <c r="D19" t="s">
        <v>155</v>
      </c>
      <c r="E19" t="s">
        <v>107</v>
      </c>
      <c r="F19" t="s">
        <v>107</v>
      </c>
      <c r="G19" t="str">
        <f t="shared" si="0"/>
        <v>N</v>
      </c>
      <c r="H19" t="s">
        <v>162</v>
      </c>
      <c r="I19" t="s">
        <v>118</v>
      </c>
      <c r="J19" t="s">
        <v>80</v>
      </c>
      <c r="K19" t="s">
        <v>55</v>
      </c>
      <c r="M19" s="3"/>
      <c r="N19" s="3"/>
    </row>
    <row r="20" spans="1:14">
      <c r="A20" t="s">
        <v>149</v>
      </c>
      <c r="B20" t="s">
        <v>1</v>
      </c>
      <c r="C20" t="s">
        <v>83</v>
      </c>
      <c r="D20" t="s">
        <v>150</v>
      </c>
      <c r="E20" t="s">
        <v>107</v>
      </c>
      <c r="F20" t="s">
        <v>107</v>
      </c>
      <c r="G20" t="str">
        <f t="shared" si="0"/>
        <v>N</v>
      </c>
      <c r="H20" t="s">
        <v>151</v>
      </c>
      <c r="I20" t="s">
        <v>113</v>
      </c>
      <c r="J20" t="s">
        <v>79</v>
      </c>
      <c r="K20" t="s">
        <v>38</v>
      </c>
      <c r="M20" s="3"/>
    </row>
    <row r="21" spans="1:14">
      <c r="A21" t="s">
        <v>146</v>
      </c>
      <c r="B21" t="s">
        <v>1</v>
      </c>
      <c r="C21" t="s">
        <v>107</v>
      </c>
      <c r="D21" t="s">
        <v>108</v>
      </c>
      <c r="E21" t="s">
        <v>107</v>
      </c>
      <c r="F21" t="s">
        <v>83</v>
      </c>
      <c r="G21" t="str">
        <f t="shared" si="0"/>
        <v>Y</v>
      </c>
      <c r="H21" t="s">
        <v>109</v>
      </c>
      <c r="I21" t="s">
        <v>110</v>
      </c>
      <c r="J21" t="s">
        <v>80</v>
      </c>
      <c r="K21" t="s">
        <v>25</v>
      </c>
      <c r="M21" s="3"/>
    </row>
    <row r="22" spans="1:14">
      <c r="A22" t="s">
        <v>163</v>
      </c>
      <c r="B22" t="s">
        <v>1</v>
      </c>
      <c r="C22" t="s">
        <v>83</v>
      </c>
      <c r="D22" t="s">
        <v>148</v>
      </c>
      <c r="E22" t="s">
        <v>83</v>
      </c>
      <c r="F22" t="s">
        <v>83</v>
      </c>
      <c r="G22" t="str">
        <f t="shared" si="0"/>
        <v>Y</v>
      </c>
      <c r="H22" t="s">
        <v>117</v>
      </c>
      <c r="I22" t="s">
        <v>118</v>
      </c>
      <c r="J22" t="s">
        <v>80</v>
      </c>
      <c r="K22" t="s">
        <v>47</v>
      </c>
    </row>
    <row r="23" spans="1:14">
      <c r="A23" t="s">
        <v>177</v>
      </c>
      <c r="B23" t="s">
        <v>1</v>
      </c>
      <c r="C23" t="s">
        <v>83</v>
      </c>
      <c r="D23" t="s">
        <v>178</v>
      </c>
      <c r="E23" t="s">
        <v>83</v>
      </c>
      <c r="F23" t="s">
        <v>83</v>
      </c>
      <c r="G23" t="str">
        <f t="shared" si="0"/>
        <v>Y</v>
      </c>
      <c r="H23" t="s">
        <v>117</v>
      </c>
      <c r="I23" t="s">
        <v>118</v>
      </c>
      <c r="J23" t="s">
        <v>80</v>
      </c>
      <c r="K23" t="s">
        <v>3</v>
      </c>
      <c r="M23" s="3"/>
      <c r="N23" s="3"/>
    </row>
    <row r="24" spans="1:14">
      <c r="A24" t="s">
        <v>174</v>
      </c>
      <c r="B24" t="s">
        <v>1</v>
      </c>
      <c r="C24" t="s">
        <v>107</v>
      </c>
      <c r="D24" t="s">
        <v>108</v>
      </c>
      <c r="E24" t="s">
        <v>107</v>
      </c>
      <c r="F24" t="s">
        <v>107</v>
      </c>
      <c r="G24" t="str">
        <f t="shared" si="0"/>
        <v>N</v>
      </c>
      <c r="H24" t="s">
        <v>8</v>
      </c>
      <c r="I24" t="s">
        <v>118</v>
      </c>
      <c r="J24" t="s">
        <v>80</v>
      </c>
      <c r="K24" t="s">
        <v>41</v>
      </c>
      <c r="M24" s="3"/>
      <c r="N24" s="3"/>
    </row>
    <row r="25" spans="1:14">
      <c r="A25" t="s">
        <v>159</v>
      </c>
      <c r="B25" t="s">
        <v>1</v>
      </c>
      <c r="C25" t="s">
        <v>107</v>
      </c>
      <c r="D25" t="s">
        <v>108</v>
      </c>
      <c r="E25" t="s">
        <v>83</v>
      </c>
      <c r="F25" t="s">
        <v>83</v>
      </c>
      <c r="G25" t="str">
        <f t="shared" si="0"/>
        <v>Y</v>
      </c>
      <c r="H25" t="s">
        <v>117</v>
      </c>
      <c r="I25" t="s">
        <v>118</v>
      </c>
      <c r="J25" t="s">
        <v>80</v>
      </c>
      <c r="K25" t="s">
        <v>52</v>
      </c>
      <c r="M25" s="3"/>
    </row>
    <row r="26" spans="1:14">
      <c r="A26" s="2" t="s">
        <v>147</v>
      </c>
      <c r="B26" t="s">
        <v>1</v>
      </c>
      <c r="C26" t="s">
        <v>83</v>
      </c>
      <c r="D26" t="s">
        <v>148</v>
      </c>
      <c r="E26" t="s">
        <v>83</v>
      </c>
      <c r="F26" t="s">
        <v>107</v>
      </c>
      <c r="G26" t="str">
        <f t="shared" si="0"/>
        <v>Y</v>
      </c>
      <c r="H26" t="s">
        <v>117</v>
      </c>
      <c r="I26" t="s">
        <v>118</v>
      </c>
      <c r="J26" t="s">
        <v>79</v>
      </c>
      <c r="K26" t="s">
        <v>38</v>
      </c>
      <c r="M26" s="3"/>
      <c r="N26" s="3"/>
    </row>
    <row r="27" spans="1:14">
      <c r="A27" t="s">
        <v>154</v>
      </c>
      <c r="B27" t="s">
        <v>1</v>
      </c>
      <c r="C27" t="s">
        <v>83</v>
      </c>
      <c r="D27" t="s">
        <v>155</v>
      </c>
      <c r="E27" t="s">
        <v>83</v>
      </c>
      <c r="F27" t="s">
        <v>83</v>
      </c>
      <c r="G27" t="str">
        <f t="shared" si="0"/>
        <v>Y</v>
      </c>
      <c r="H27" t="s">
        <v>117</v>
      </c>
      <c r="I27" t="s">
        <v>156</v>
      </c>
      <c r="J27" t="s">
        <v>80</v>
      </c>
      <c r="K27" t="s">
        <v>11</v>
      </c>
      <c r="M27" s="3"/>
    </row>
    <row r="28" spans="1:14">
      <c r="A28" t="s">
        <v>165</v>
      </c>
      <c r="B28" t="s">
        <v>1</v>
      </c>
      <c r="C28" t="s">
        <v>107</v>
      </c>
      <c r="D28" t="s">
        <v>108</v>
      </c>
      <c r="E28" t="s">
        <v>107</v>
      </c>
      <c r="F28" t="s">
        <v>83</v>
      </c>
      <c r="G28" t="str">
        <f t="shared" si="0"/>
        <v>Y</v>
      </c>
      <c r="H28" t="s">
        <v>166</v>
      </c>
      <c r="I28" t="s">
        <v>167</v>
      </c>
      <c r="J28" t="s">
        <v>80</v>
      </c>
      <c r="K28" t="s">
        <v>7</v>
      </c>
      <c r="M28" s="3"/>
    </row>
    <row r="29" spans="1:14">
      <c r="A29" s="1" t="s">
        <v>87</v>
      </c>
      <c r="B29" t="s">
        <v>1</v>
      </c>
      <c r="C29" t="s">
        <v>83</v>
      </c>
      <c r="D29" t="s">
        <v>164</v>
      </c>
      <c r="E29" t="s">
        <v>83</v>
      </c>
      <c r="F29" t="s">
        <v>107</v>
      </c>
      <c r="G29" t="str">
        <f t="shared" si="0"/>
        <v>Y</v>
      </c>
      <c r="H29" t="s">
        <v>117</v>
      </c>
      <c r="I29" t="s">
        <v>118</v>
      </c>
      <c r="J29" t="s">
        <v>79</v>
      </c>
      <c r="K29" t="s">
        <v>67</v>
      </c>
      <c r="M29" s="3"/>
    </row>
    <row r="30" spans="1:14">
      <c r="A30" t="s">
        <v>179</v>
      </c>
      <c r="B30" t="s">
        <v>1</v>
      </c>
      <c r="C30" t="s">
        <v>83</v>
      </c>
      <c r="D30" t="s">
        <v>180</v>
      </c>
      <c r="E30" t="s">
        <v>107</v>
      </c>
      <c r="F30" t="s">
        <v>107</v>
      </c>
      <c r="G30" t="str">
        <f t="shared" si="0"/>
        <v>N</v>
      </c>
      <c r="H30" t="s">
        <v>181</v>
      </c>
      <c r="I30" t="s">
        <v>182</v>
      </c>
      <c r="J30" t="s">
        <v>80</v>
      </c>
      <c r="K30" t="s">
        <v>3</v>
      </c>
      <c r="M30" s="3"/>
    </row>
    <row r="31" spans="1:14">
      <c r="A31" t="s">
        <v>168</v>
      </c>
      <c r="B31" t="s">
        <v>1</v>
      </c>
      <c r="C31" t="s">
        <v>107</v>
      </c>
      <c r="D31" t="s">
        <v>108</v>
      </c>
      <c r="E31" t="s">
        <v>107</v>
      </c>
      <c r="F31" t="s">
        <v>107</v>
      </c>
      <c r="G31" t="str">
        <f t="shared" si="0"/>
        <v>N</v>
      </c>
      <c r="H31" t="s">
        <v>169</v>
      </c>
      <c r="I31" t="s">
        <v>118</v>
      </c>
      <c r="J31" t="s">
        <v>79</v>
      </c>
      <c r="K31" t="s">
        <v>62</v>
      </c>
      <c r="M31" s="3"/>
    </row>
    <row r="32" spans="1:14">
      <c r="A32" t="s">
        <v>152</v>
      </c>
      <c r="B32" t="s">
        <v>1</v>
      </c>
      <c r="C32" t="s">
        <v>107</v>
      </c>
      <c r="D32" t="s">
        <v>108</v>
      </c>
      <c r="E32" t="s">
        <v>107</v>
      </c>
      <c r="F32" t="s">
        <v>107</v>
      </c>
      <c r="G32" t="str">
        <f t="shared" si="0"/>
        <v>N</v>
      </c>
      <c r="H32" t="s">
        <v>153</v>
      </c>
      <c r="I32" t="s">
        <v>118</v>
      </c>
      <c r="J32" t="s">
        <v>79</v>
      </c>
      <c r="K32" t="s">
        <v>44</v>
      </c>
      <c r="M32" s="3"/>
    </row>
    <row r="33" spans="1:15">
      <c r="A33" t="s">
        <v>175</v>
      </c>
      <c r="B33" t="s">
        <v>1</v>
      </c>
      <c r="C33" t="s">
        <v>107</v>
      </c>
      <c r="D33" t="s">
        <v>108</v>
      </c>
      <c r="E33" t="s">
        <v>107</v>
      </c>
      <c r="F33" t="s">
        <v>107</v>
      </c>
      <c r="G33" t="str">
        <f t="shared" si="0"/>
        <v>N</v>
      </c>
      <c r="H33" t="s">
        <v>176</v>
      </c>
      <c r="I33" t="s">
        <v>118</v>
      </c>
      <c r="J33" t="s">
        <v>80</v>
      </c>
      <c r="K33" t="s">
        <v>46</v>
      </c>
    </row>
    <row r="34" spans="1:15">
      <c r="A34" t="s">
        <v>160</v>
      </c>
      <c r="B34" t="s">
        <v>1</v>
      </c>
      <c r="C34" t="s">
        <v>83</v>
      </c>
      <c r="D34" t="s">
        <v>155</v>
      </c>
      <c r="E34" t="s">
        <v>107</v>
      </c>
      <c r="F34" t="s">
        <v>107</v>
      </c>
      <c r="G34" t="str">
        <f t="shared" ref="G34:G65" si="1">IF(OR(E34="Y", F34="Y"),"Y","N")</f>
        <v>N</v>
      </c>
      <c r="H34" t="s">
        <v>161</v>
      </c>
      <c r="I34" t="s">
        <v>118</v>
      </c>
      <c r="J34" t="s">
        <v>80</v>
      </c>
      <c r="K34" t="s">
        <v>1</v>
      </c>
      <c r="M34" s="3"/>
    </row>
    <row r="35" spans="1:15">
      <c r="A35" t="s">
        <v>157</v>
      </c>
      <c r="B35" t="s">
        <v>1</v>
      </c>
      <c r="C35" t="s">
        <v>83</v>
      </c>
      <c r="D35" t="s">
        <v>155</v>
      </c>
      <c r="E35" t="s">
        <v>107</v>
      </c>
      <c r="F35" t="s">
        <v>83</v>
      </c>
      <c r="G35" t="str">
        <f t="shared" si="1"/>
        <v>Y</v>
      </c>
      <c r="H35" t="s">
        <v>158</v>
      </c>
      <c r="I35" t="s">
        <v>118</v>
      </c>
      <c r="J35" t="s">
        <v>80</v>
      </c>
      <c r="K35" t="s">
        <v>39</v>
      </c>
      <c r="M35" s="3"/>
    </row>
    <row r="36" spans="1:15">
      <c r="A36" t="s">
        <v>183</v>
      </c>
      <c r="B36" t="s">
        <v>1</v>
      </c>
      <c r="C36" t="s">
        <v>83</v>
      </c>
      <c r="D36" t="s">
        <v>184</v>
      </c>
      <c r="E36" t="s">
        <v>83</v>
      </c>
      <c r="F36" t="s">
        <v>83</v>
      </c>
      <c r="G36" t="str">
        <f t="shared" si="1"/>
        <v>Y</v>
      </c>
      <c r="H36" t="s">
        <v>117</v>
      </c>
      <c r="I36" t="s">
        <v>118</v>
      </c>
      <c r="J36" t="s">
        <v>79</v>
      </c>
      <c r="K36" t="s">
        <v>23</v>
      </c>
      <c r="M36" s="3"/>
    </row>
    <row r="37" spans="1:15">
      <c r="A37" s="1" t="s">
        <v>96</v>
      </c>
      <c r="B37" t="s">
        <v>34</v>
      </c>
      <c r="C37" t="s">
        <v>107</v>
      </c>
      <c r="D37" t="s">
        <v>108</v>
      </c>
      <c r="E37" t="s">
        <v>107</v>
      </c>
      <c r="F37" t="s">
        <v>107</v>
      </c>
      <c r="G37" t="str">
        <f t="shared" si="1"/>
        <v>N</v>
      </c>
      <c r="H37" t="s">
        <v>185</v>
      </c>
      <c r="I37" t="s">
        <v>118</v>
      </c>
      <c r="J37" t="s">
        <v>79</v>
      </c>
      <c r="K37" t="s">
        <v>38</v>
      </c>
      <c r="M37" s="3"/>
    </row>
    <row r="38" spans="1:15">
      <c r="A38" t="s">
        <v>186</v>
      </c>
      <c r="B38" t="s">
        <v>17</v>
      </c>
      <c r="C38" t="s">
        <v>107</v>
      </c>
      <c r="D38" t="s">
        <v>108</v>
      </c>
      <c r="E38" t="s">
        <v>107</v>
      </c>
      <c r="F38" t="s">
        <v>107</v>
      </c>
      <c r="G38" t="str">
        <f t="shared" si="1"/>
        <v>N</v>
      </c>
      <c r="H38" t="s">
        <v>187</v>
      </c>
      <c r="I38" t="s">
        <v>188</v>
      </c>
      <c r="J38" t="s">
        <v>80</v>
      </c>
      <c r="K38" t="s">
        <v>48</v>
      </c>
      <c r="M38" s="3"/>
    </row>
    <row r="39" spans="1:15">
      <c r="A39" t="s">
        <v>189</v>
      </c>
      <c r="B39" t="s">
        <v>19</v>
      </c>
      <c r="C39" t="s">
        <v>83</v>
      </c>
      <c r="D39" t="s">
        <v>171</v>
      </c>
      <c r="E39" t="s">
        <v>107</v>
      </c>
      <c r="F39" t="s">
        <v>107</v>
      </c>
      <c r="G39" t="str">
        <f t="shared" si="1"/>
        <v>N</v>
      </c>
      <c r="H39" t="s">
        <v>190</v>
      </c>
      <c r="I39" t="s">
        <v>191</v>
      </c>
      <c r="J39" t="s">
        <v>80</v>
      </c>
      <c r="K39" t="s">
        <v>57</v>
      </c>
      <c r="M39" s="3"/>
    </row>
    <row r="40" spans="1:15">
      <c r="A40" t="s">
        <v>192</v>
      </c>
      <c r="B40" t="s">
        <v>21</v>
      </c>
      <c r="C40" t="s">
        <v>107</v>
      </c>
      <c r="D40" t="s">
        <v>108</v>
      </c>
      <c r="E40" t="s">
        <v>107</v>
      </c>
      <c r="F40" t="s">
        <v>107</v>
      </c>
      <c r="G40" t="str">
        <f t="shared" si="1"/>
        <v>N</v>
      </c>
      <c r="H40" t="s">
        <v>193</v>
      </c>
      <c r="I40" t="s">
        <v>194</v>
      </c>
      <c r="J40" t="s">
        <v>79</v>
      </c>
      <c r="K40" t="s">
        <v>6</v>
      </c>
      <c r="M40" s="3"/>
    </row>
    <row r="41" spans="1:15">
      <c r="A41" t="s">
        <v>195</v>
      </c>
      <c r="B41" t="s">
        <v>13</v>
      </c>
      <c r="C41" t="s">
        <v>107</v>
      </c>
      <c r="D41" t="s">
        <v>108</v>
      </c>
      <c r="E41" t="s">
        <v>107</v>
      </c>
      <c r="F41" t="s">
        <v>107</v>
      </c>
      <c r="G41" t="str">
        <f t="shared" si="1"/>
        <v>N</v>
      </c>
      <c r="H41" t="s">
        <v>196</v>
      </c>
      <c r="I41" t="s">
        <v>197</v>
      </c>
      <c r="J41" t="s">
        <v>80</v>
      </c>
      <c r="K41" t="s">
        <v>47</v>
      </c>
      <c r="M41" s="3"/>
    </row>
    <row r="42" spans="1:15">
      <c r="A42" t="s">
        <v>198</v>
      </c>
      <c r="B42" t="s">
        <v>13</v>
      </c>
      <c r="C42" t="s">
        <v>83</v>
      </c>
      <c r="D42" t="s">
        <v>199</v>
      </c>
      <c r="E42" t="s">
        <v>83</v>
      </c>
      <c r="F42" t="s">
        <v>83</v>
      </c>
      <c r="G42" t="str">
        <f t="shared" si="1"/>
        <v>Y</v>
      </c>
      <c r="H42" t="s">
        <v>117</v>
      </c>
      <c r="I42" t="s">
        <v>118</v>
      </c>
      <c r="J42" t="s">
        <v>80</v>
      </c>
      <c r="K42" t="s">
        <v>70</v>
      </c>
      <c r="M42" s="3"/>
    </row>
    <row r="43" spans="1:15">
      <c r="A43" t="s">
        <v>200</v>
      </c>
      <c r="B43" t="s">
        <v>36</v>
      </c>
      <c r="C43" t="s">
        <v>83</v>
      </c>
      <c r="D43" t="s">
        <v>171</v>
      </c>
      <c r="E43" t="s">
        <v>107</v>
      </c>
      <c r="F43" t="s">
        <v>107</v>
      </c>
      <c r="G43" t="str">
        <f t="shared" si="1"/>
        <v>N</v>
      </c>
      <c r="H43" t="s">
        <v>201</v>
      </c>
      <c r="I43" t="s">
        <v>118</v>
      </c>
      <c r="J43" t="s">
        <v>79</v>
      </c>
      <c r="K43" t="s">
        <v>59</v>
      </c>
      <c r="M43" s="3"/>
    </row>
    <row r="44" spans="1:15">
      <c r="A44" t="s">
        <v>204</v>
      </c>
      <c r="B44" t="s">
        <v>9</v>
      </c>
      <c r="C44" t="s">
        <v>107</v>
      </c>
      <c r="D44" t="s">
        <v>108</v>
      </c>
      <c r="E44" t="s">
        <v>107</v>
      </c>
      <c r="F44" t="s">
        <v>107</v>
      </c>
      <c r="G44" t="str">
        <f t="shared" si="1"/>
        <v>N</v>
      </c>
      <c r="H44" t="s">
        <v>205</v>
      </c>
      <c r="I44" t="s">
        <v>113</v>
      </c>
      <c r="J44" t="s">
        <v>80</v>
      </c>
      <c r="K44" t="s">
        <v>68</v>
      </c>
      <c r="M44" s="3"/>
    </row>
    <row r="45" spans="1:15">
      <c r="A45" t="s">
        <v>202</v>
      </c>
      <c r="B45" t="s">
        <v>9</v>
      </c>
      <c r="C45" t="s">
        <v>107</v>
      </c>
      <c r="D45" t="s">
        <v>108</v>
      </c>
      <c r="E45" t="s">
        <v>107</v>
      </c>
      <c r="F45" t="s">
        <v>107</v>
      </c>
      <c r="G45" t="str">
        <f t="shared" si="1"/>
        <v>N</v>
      </c>
      <c r="H45" t="s">
        <v>203</v>
      </c>
      <c r="I45" t="s">
        <v>118</v>
      </c>
      <c r="J45" t="s">
        <v>80</v>
      </c>
      <c r="K45" t="s">
        <v>28</v>
      </c>
      <c r="M45" s="3"/>
      <c r="N45" s="3"/>
      <c r="O45" s="3" t="s">
        <v>256</v>
      </c>
    </row>
    <row r="46" spans="1:15">
      <c r="A46" t="s">
        <v>206</v>
      </c>
      <c r="B46" t="s">
        <v>9</v>
      </c>
      <c r="C46" t="s">
        <v>83</v>
      </c>
      <c r="D46" t="s">
        <v>127</v>
      </c>
      <c r="E46" t="s">
        <v>107</v>
      </c>
      <c r="F46" t="s">
        <v>107</v>
      </c>
      <c r="G46" t="str">
        <f t="shared" si="1"/>
        <v>N</v>
      </c>
      <c r="H46" t="s">
        <v>207</v>
      </c>
      <c r="I46" t="s">
        <v>113</v>
      </c>
      <c r="J46" t="s">
        <v>79</v>
      </c>
      <c r="K46" t="s">
        <v>39</v>
      </c>
      <c r="M46" s="3"/>
    </row>
    <row r="47" spans="1:15">
      <c r="A47" t="s">
        <v>208</v>
      </c>
      <c r="B47" t="s">
        <v>29</v>
      </c>
      <c r="C47" t="s">
        <v>107</v>
      </c>
      <c r="D47" t="s">
        <v>108</v>
      </c>
      <c r="E47" t="s">
        <v>107</v>
      </c>
      <c r="F47" t="s">
        <v>107</v>
      </c>
      <c r="G47" t="str">
        <f t="shared" si="1"/>
        <v>N</v>
      </c>
      <c r="H47" t="s">
        <v>128</v>
      </c>
      <c r="I47" t="s">
        <v>118</v>
      </c>
      <c r="J47" t="s">
        <v>79</v>
      </c>
      <c r="K47" t="s">
        <v>46</v>
      </c>
      <c r="M47" s="3"/>
    </row>
    <row r="48" spans="1:15">
      <c r="A48" t="s">
        <v>209</v>
      </c>
      <c r="B48" t="s">
        <v>31</v>
      </c>
      <c r="C48" t="s">
        <v>107</v>
      </c>
      <c r="D48" t="s">
        <v>108</v>
      </c>
      <c r="E48" t="s">
        <v>107</v>
      </c>
      <c r="F48" t="s">
        <v>107</v>
      </c>
      <c r="G48" t="str">
        <f t="shared" si="1"/>
        <v>N</v>
      </c>
      <c r="H48" t="s">
        <v>210</v>
      </c>
      <c r="I48" t="s">
        <v>173</v>
      </c>
      <c r="J48" t="s">
        <v>80</v>
      </c>
      <c r="K48" t="s">
        <v>72</v>
      </c>
      <c r="M48" s="3"/>
    </row>
    <row r="49" spans="1:14">
      <c r="A49" t="s">
        <v>212</v>
      </c>
      <c r="B49" t="s">
        <v>7</v>
      </c>
      <c r="C49" t="s">
        <v>83</v>
      </c>
      <c r="D49" t="s">
        <v>150</v>
      </c>
      <c r="E49" t="s">
        <v>83</v>
      </c>
      <c r="F49" t="s">
        <v>83</v>
      </c>
      <c r="G49" t="str">
        <f t="shared" si="1"/>
        <v>Y</v>
      </c>
      <c r="H49" t="s">
        <v>117</v>
      </c>
      <c r="I49" t="s">
        <v>118</v>
      </c>
      <c r="J49" t="s">
        <v>80</v>
      </c>
      <c r="M49" s="3"/>
    </row>
    <row r="50" spans="1:14">
      <c r="A50" s="1" t="s">
        <v>90</v>
      </c>
      <c r="B50" t="s">
        <v>7</v>
      </c>
      <c r="C50" t="s">
        <v>83</v>
      </c>
      <c r="D50" t="s">
        <v>184</v>
      </c>
      <c r="E50" t="s">
        <v>83</v>
      </c>
      <c r="F50" t="s">
        <v>107</v>
      </c>
      <c r="G50" t="str">
        <f t="shared" si="1"/>
        <v>Y</v>
      </c>
      <c r="H50" t="s">
        <v>117</v>
      </c>
      <c r="I50" t="s">
        <v>118</v>
      </c>
      <c r="J50" t="s">
        <v>79</v>
      </c>
      <c r="K50" t="s">
        <v>3</v>
      </c>
      <c r="M50" s="3"/>
    </row>
    <row r="51" spans="1:14">
      <c r="A51" t="s">
        <v>211</v>
      </c>
      <c r="B51" t="s">
        <v>7</v>
      </c>
      <c r="C51" t="s">
        <v>107</v>
      </c>
      <c r="D51" t="s">
        <v>108</v>
      </c>
      <c r="E51" t="s">
        <v>83</v>
      </c>
      <c r="F51" t="s">
        <v>83</v>
      </c>
      <c r="G51" t="str">
        <f t="shared" si="1"/>
        <v>Y</v>
      </c>
      <c r="H51" t="s">
        <v>117</v>
      </c>
      <c r="I51" t="s">
        <v>118</v>
      </c>
      <c r="J51" t="s">
        <v>79</v>
      </c>
      <c r="K51" t="s">
        <v>1</v>
      </c>
      <c r="M51" s="3"/>
    </row>
    <row r="52" spans="1:14">
      <c r="A52" t="s">
        <v>213</v>
      </c>
      <c r="B52" t="s">
        <v>35</v>
      </c>
      <c r="C52" t="s">
        <v>107</v>
      </c>
      <c r="D52" t="s">
        <v>108</v>
      </c>
      <c r="E52" t="s">
        <v>107</v>
      </c>
      <c r="F52" t="s">
        <v>107</v>
      </c>
      <c r="G52" t="str">
        <f t="shared" si="1"/>
        <v>N</v>
      </c>
      <c r="H52" t="s">
        <v>214</v>
      </c>
      <c r="I52" t="s">
        <v>197</v>
      </c>
      <c r="J52" t="s">
        <v>80</v>
      </c>
      <c r="K52" t="s">
        <v>33</v>
      </c>
      <c r="M52" s="3"/>
      <c r="N52" s="3"/>
    </row>
    <row r="53" spans="1:14">
      <c r="A53" t="s">
        <v>215</v>
      </c>
      <c r="B53" t="s">
        <v>12</v>
      </c>
      <c r="C53" t="s">
        <v>107</v>
      </c>
      <c r="D53" t="s">
        <v>108</v>
      </c>
      <c r="E53" t="s">
        <v>107</v>
      </c>
      <c r="F53" t="s">
        <v>107</v>
      </c>
      <c r="G53" t="str">
        <f t="shared" si="1"/>
        <v>N</v>
      </c>
      <c r="H53" t="s">
        <v>216</v>
      </c>
      <c r="I53" t="s">
        <v>140</v>
      </c>
      <c r="J53" t="s">
        <v>80</v>
      </c>
      <c r="K53" t="s">
        <v>12</v>
      </c>
      <c r="M53" s="3"/>
    </row>
    <row r="54" spans="1:14">
      <c r="A54" t="s">
        <v>217</v>
      </c>
      <c r="B54" t="s">
        <v>12</v>
      </c>
      <c r="C54" t="s">
        <v>107</v>
      </c>
      <c r="D54" t="s">
        <v>108</v>
      </c>
      <c r="E54" t="s">
        <v>107</v>
      </c>
      <c r="F54" t="s">
        <v>107</v>
      </c>
      <c r="G54" t="str">
        <f t="shared" si="1"/>
        <v>N</v>
      </c>
      <c r="H54" t="s">
        <v>218</v>
      </c>
      <c r="I54" t="s">
        <v>219</v>
      </c>
      <c r="J54" t="s">
        <v>80</v>
      </c>
      <c r="K54" t="s">
        <v>60</v>
      </c>
      <c r="M54" s="3"/>
    </row>
    <row r="55" spans="1:14">
      <c r="A55" t="s">
        <v>220</v>
      </c>
      <c r="B55" t="s">
        <v>24</v>
      </c>
      <c r="C55" t="s">
        <v>107</v>
      </c>
      <c r="D55" t="s">
        <v>108</v>
      </c>
      <c r="E55" t="s">
        <v>107</v>
      </c>
      <c r="F55" t="s">
        <v>107</v>
      </c>
      <c r="G55" t="str">
        <f t="shared" si="1"/>
        <v>N</v>
      </c>
      <c r="H55" t="s">
        <v>221</v>
      </c>
      <c r="I55" t="s">
        <v>173</v>
      </c>
      <c r="J55" t="s">
        <v>80</v>
      </c>
      <c r="K55" t="s">
        <v>5</v>
      </c>
      <c r="M55" s="3"/>
    </row>
    <row r="56" spans="1:14">
      <c r="A56" t="s">
        <v>222</v>
      </c>
      <c r="B56" t="s">
        <v>18</v>
      </c>
      <c r="C56" t="s">
        <v>83</v>
      </c>
      <c r="D56" t="s">
        <v>150</v>
      </c>
      <c r="E56" t="s">
        <v>107</v>
      </c>
      <c r="F56" t="s">
        <v>107</v>
      </c>
      <c r="G56" t="str">
        <f t="shared" si="1"/>
        <v>N</v>
      </c>
      <c r="H56" t="s">
        <v>151</v>
      </c>
      <c r="I56" t="s">
        <v>223</v>
      </c>
      <c r="J56" t="s">
        <v>80</v>
      </c>
      <c r="K56" t="s">
        <v>40</v>
      </c>
      <c r="M56" s="3"/>
    </row>
    <row r="57" spans="1:14">
      <c r="A57" t="s">
        <v>224</v>
      </c>
      <c r="B57" t="s">
        <v>2</v>
      </c>
      <c r="C57" t="s">
        <v>83</v>
      </c>
      <c r="D57" t="s">
        <v>171</v>
      </c>
      <c r="E57" t="s">
        <v>83</v>
      </c>
      <c r="F57" t="s">
        <v>83</v>
      </c>
      <c r="G57" t="str">
        <f t="shared" si="1"/>
        <v>Y</v>
      </c>
      <c r="H57" t="s">
        <v>117</v>
      </c>
      <c r="I57" t="s">
        <v>118</v>
      </c>
      <c r="J57" t="s">
        <v>79</v>
      </c>
      <c r="K57" t="s">
        <v>66</v>
      </c>
      <c r="M57" s="3"/>
    </row>
    <row r="58" spans="1:14">
      <c r="A58" t="s">
        <v>225</v>
      </c>
      <c r="B58" t="s">
        <v>2</v>
      </c>
      <c r="C58" t="s">
        <v>83</v>
      </c>
      <c r="D58" t="s">
        <v>127</v>
      </c>
      <c r="E58" t="s">
        <v>107</v>
      </c>
      <c r="F58" t="s">
        <v>107</v>
      </c>
      <c r="G58" t="str">
        <f t="shared" si="1"/>
        <v>N</v>
      </c>
      <c r="H58" t="s">
        <v>207</v>
      </c>
      <c r="I58" t="s">
        <v>173</v>
      </c>
      <c r="J58" t="s">
        <v>79</v>
      </c>
      <c r="K58" t="s">
        <v>11</v>
      </c>
      <c r="M58" s="3"/>
    </row>
    <row r="59" spans="1:14">
      <c r="A59" t="s">
        <v>228</v>
      </c>
      <c r="B59" t="s">
        <v>2</v>
      </c>
      <c r="C59" t="s">
        <v>83</v>
      </c>
      <c r="D59" t="s">
        <v>180</v>
      </c>
      <c r="E59" t="s">
        <v>107</v>
      </c>
      <c r="F59" t="s">
        <v>83</v>
      </c>
      <c r="G59" t="str">
        <f t="shared" si="1"/>
        <v>Y</v>
      </c>
      <c r="H59" t="s">
        <v>128</v>
      </c>
      <c r="I59" t="s">
        <v>118</v>
      </c>
      <c r="J59" t="s">
        <v>80</v>
      </c>
      <c r="K59" t="s">
        <v>53</v>
      </c>
      <c r="M59" s="3"/>
    </row>
    <row r="60" spans="1:14">
      <c r="A60" t="s">
        <v>227</v>
      </c>
      <c r="B60" t="s">
        <v>2</v>
      </c>
      <c r="C60" t="s">
        <v>83</v>
      </c>
      <c r="D60" t="s">
        <v>155</v>
      </c>
      <c r="E60" t="s">
        <v>83</v>
      </c>
      <c r="F60" t="s">
        <v>83</v>
      </c>
      <c r="G60" t="str">
        <f t="shared" si="1"/>
        <v>Y</v>
      </c>
      <c r="H60" t="s">
        <v>117</v>
      </c>
      <c r="I60" t="s">
        <v>118</v>
      </c>
      <c r="J60" t="s">
        <v>80</v>
      </c>
      <c r="K60" t="s">
        <v>1</v>
      </c>
      <c r="M60" s="3"/>
    </row>
    <row r="61" spans="1:14">
      <c r="A61" t="s">
        <v>229</v>
      </c>
      <c r="B61" t="s">
        <v>2</v>
      </c>
      <c r="C61" t="s">
        <v>83</v>
      </c>
      <c r="D61" t="s">
        <v>230</v>
      </c>
      <c r="E61" t="s">
        <v>107</v>
      </c>
      <c r="F61" t="s">
        <v>107</v>
      </c>
      <c r="G61" t="str">
        <f t="shared" si="1"/>
        <v>N</v>
      </c>
      <c r="H61" t="s">
        <v>207</v>
      </c>
      <c r="I61" t="s">
        <v>118</v>
      </c>
      <c r="J61" t="s">
        <v>80</v>
      </c>
      <c r="K61" t="s">
        <v>36</v>
      </c>
      <c r="M61" s="3"/>
    </row>
    <row r="62" spans="1:14">
      <c r="A62" s="1" t="s">
        <v>94</v>
      </c>
      <c r="B62" t="s">
        <v>2</v>
      </c>
      <c r="C62" t="s">
        <v>107</v>
      </c>
      <c r="D62" t="s">
        <v>108</v>
      </c>
      <c r="E62" t="s">
        <v>107</v>
      </c>
      <c r="F62" t="s">
        <v>107</v>
      </c>
      <c r="G62" t="str">
        <f t="shared" si="1"/>
        <v>N</v>
      </c>
      <c r="H62" t="s">
        <v>207</v>
      </c>
      <c r="I62" t="s">
        <v>118</v>
      </c>
      <c r="J62" t="s">
        <v>80</v>
      </c>
      <c r="K62" t="s">
        <v>4</v>
      </c>
      <c r="M62" s="3"/>
    </row>
    <row r="63" spans="1:14">
      <c r="A63" s="1" t="s">
        <v>98</v>
      </c>
      <c r="B63" t="s">
        <v>2</v>
      </c>
      <c r="C63" t="s">
        <v>83</v>
      </c>
      <c r="D63" t="s">
        <v>180</v>
      </c>
      <c r="E63" t="s">
        <v>107</v>
      </c>
      <c r="F63" t="s">
        <v>83</v>
      </c>
      <c r="G63" t="str">
        <f t="shared" si="1"/>
        <v>Y</v>
      </c>
      <c r="H63" t="s">
        <v>226</v>
      </c>
      <c r="I63" t="s">
        <v>118</v>
      </c>
      <c r="J63" t="s">
        <v>80</v>
      </c>
      <c r="K63" t="s">
        <v>39</v>
      </c>
    </row>
    <row r="64" spans="1:14">
      <c r="A64" t="s">
        <v>234</v>
      </c>
      <c r="B64" t="s">
        <v>2</v>
      </c>
      <c r="C64" t="s">
        <v>83</v>
      </c>
      <c r="D64" t="s">
        <v>155</v>
      </c>
      <c r="E64" t="s">
        <v>107</v>
      </c>
      <c r="F64" t="s">
        <v>107</v>
      </c>
      <c r="G64" t="str">
        <f t="shared" si="1"/>
        <v>N</v>
      </c>
      <c r="H64" t="s">
        <v>235</v>
      </c>
      <c r="I64" t="s">
        <v>173</v>
      </c>
      <c r="J64" t="s">
        <v>80</v>
      </c>
      <c r="M64" s="3"/>
    </row>
    <row r="65" spans="1:14">
      <c r="A65" s="1" t="s">
        <v>91</v>
      </c>
      <c r="B65" t="s">
        <v>2</v>
      </c>
      <c r="C65" t="s">
        <v>83</v>
      </c>
      <c r="D65" t="s">
        <v>178</v>
      </c>
      <c r="E65" t="s">
        <v>107</v>
      </c>
      <c r="F65" t="s">
        <v>107</v>
      </c>
      <c r="G65" t="str">
        <f t="shared" si="1"/>
        <v>N</v>
      </c>
      <c r="H65" t="s">
        <v>233</v>
      </c>
      <c r="I65" t="s">
        <v>118</v>
      </c>
      <c r="J65" t="s">
        <v>79</v>
      </c>
      <c r="K65" t="s">
        <v>41</v>
      </c>
      <c r="M65" s="3"/>
    </row>
    <row r="66" spans="1:14">
      <c r="A66" s="1" t="s">
        <v>88</v>
      </c>
      <c r="B66" t="s">
        <v>2</v>
      </c>
      <c r="C66" t="s">
        <v>83</v>
      </c>
      <c r="D66" t="s">
        <v>155</v>
      </c>
      <c r="E66" t="s">
        <v>107</v>
      </c>
      <c r="F66" t="s">
        <v>83</v>
      </c>
      <c r="G66" t="str">
        <f t="shared" ref="G66:G101" si="2">IF(OR(E66="Y", F66="Y"),"Y","N")</f>
        <v>Y</v>
      </c>
      <c r="H66" t="s">
        <v>128</v>
      </c>
      <c r="I66" t="s">
        <v>118</v>
      </c>
      <c r="J66" t="s">
        <v>80</v>
      </c>
      <c r="K66" t="s">
        <v>2</v>
      </c>
      <c r="M66" s="3"/>
    </row>
    <row r="67" spans="1:14">
      <c r="A67" t="s">
        <v>231</v>
      </c>
      <c r="B67" t="s">
        <v>2</v>
      </c>
      <c r="C67" t="s">
        <v>107</v>
      </c>
      <c r="D67" t="s">
        <v>108</v>
      </c>
      <c r="E67" t="s">
        <v>83</v>
      </c>
      <c r="F67" t="s">
        <v>83</v>
      </c>
      <c r="G67" t="str">
        <f t="shared" si="2"/>
        <v>Y</v>
      </c>
      <c r="H67" t="s">
        <v>232</v>
      </c>
      <c r="I67" t="s">
        <v>118</v>
      </c>
      <c r="J67" t="s">
        <v>80</v>
      </c>
      <c r="K67" t="s">
        <v>56</v>
      </c>
      <c r="M67" s="3"/>
    </row>
    <row r="68" spans="1:14">
      <c r="A68" t="s">
        <v>236</v>
      </c>
      <c r="B68" t="s">
        <v>14</v>
      </c>
      <c r="C68" t="s">
        <v>107</v>
      </c>
      <c r="D68" t="s">
        <v>108</v>
      </c>
      <c r="E68" t="s">
        <v>107</v>
      </c>
      <c r="F68" t="s">
        <v>107</v>
      </c>
      <c r="G68" t="str">
        <f t="shared" si="2"/>
        <v>N</v>
      </c>
      <c r="H68" t="s">
        <v>237</v>
      </c>
      <c r="I68" t="s">
        <v>182</v>
      </c>
      <c r="J68" t="s">
        <v>80</v>
      </c>
      <c r="K68" t="s">
        <v>63</v>
      </c>
      <c r="M68" s="3"/>
    </row>
    <row r="69" spans="1:14">
      <c r="A69" s="1" t="s">
        <v>97</v>
      </c>
      <c r="B69" t="s">
        <v>6</v>
      </c>
      <c r="C69" t="s">
        <v>83</v>
      </c>
      <c r="D69" t="s">
        <v>148</v>
      </c>
      <c r="E69" t="s">
        <v>83</v>
      </c>
      <c r="F69" t="s">
        <v>107</v>
      </c>
      <c r="G69" t="str">
        <f t="shared" si="2"/>
        <v>Y</v>
      </c>
      <c r="H69" t="s">
        <v>117</v>
      </c>
      <c r="I69" t="s">
        <v>118</v>
      </c>
      <c r="J69" t="s">
        <v>79</v>
      </c>
      <c r="K69" t="s">
        <v>76</v>
      </c>
      <c r="M69" s="3"/>
    </row>
    <row r="70" spans="1:14">
      <c r="A70" t="s">
        <v>238</v>
      </c>
      <c r="B70" t="s">
        <v>6</v>
      </c>
      <c r="C70" t="s">
        <v>83</v>
      </c>
      <c r="D70" t="s">
        <v>239</v>
      </c>
      <c r="E70" t="s">
        <v>107</v>
      </c>
      <c r="F70" t="s">
        <v>107</v>
      </c>
      <c r="G70" t="str">
        <f t="shared" si="2"/>
        <v>N</v>
      </c>
      <c r="H70" t="s">
        <v>240</v>
      </c>
      <c r="I70" t="s">
        <v>113</v>
      </c>
      <c r="J70" t="s">
        <v>80</v>
      </c>
      <c r="K70" t="s">
        <v>11</v>
      </c>
      <c r="M70" s="3"/>
    </row>
    <row r="71" spans="1:14">
      <c r="A71" t="s">
        <v>241</v>
      </c>
      <c r="B71" t="s">
        <v>6</v>
      </c>
      <c r="C71" t="s">
        <v>83</v>
      </c>
      <c r="D71" t="s">
        <v>150</v>
      </c>
      <c r="E71" t="s">
        <v>107</v>
      </c>
      <c r="F71" t="s">
        <v>107</v>
      </c>
      <c r="G71" t="str">
        <f t="shared" si="2"/>
        <v>N</v>
      </c>
      <c r="H71" t="s">
        <v>242</v>
      </c>
      <c r="I71" t="s">
        <v>197</v>
      </c>
      <c r="J71" t="s">
        <v>79</v>
      </c>
      <c r="K71" t="s">
        <v>40</v>
      </c>
      <c r="M71" s="3"/>
    </row>
    <row r="72" spans="1:14">
      <c r="A72" t="s">
        <v>243</v>
      </c>
      <c r="B72" t="s">
        <v>20</v>
      </c>
      <c r="C72" t="s">
        <v>107</v>
      </c>
      <c r="D72" t="s">
        <v>108</v>
      </c>
      <c r="E72" t="s">
        <v>107</v>
      </c>
      <c r="F72" t="s">
        <v>107</v>
      </c>
      <c r="G72" t="str">
        <f t="shared" si="2"/>
        <v>N</v>
      </c>
      <c r="H72" t="s">
        <v>244</v>
      </c>
      <c r="I72" t="s">
        <v>194</v>
      </c>
      <c r="J72" t="s">
        <v>80</v>
      </c>
      <c r="K72" t="s">
        <v>20</v>
      </c>
      <c r="M72" s="3"/>
    </row>
    <row r="73" spans="1:14">
      <c r="A73" t="s">
        <v>250</v>
      </c>
      <c r="B73" t="s">
        <v>5</v>
      </c>
      <c r="C73" t="s">
        <v>107</v>
      </c>
      <c r="D73" t="s">
        <v>108</v>
      </c>
      <c r="E73" t="s">
        <v>107</v>
      </c>
      <c r="F73" t="s">
        <v>107</v>
      </c>
      <c r="G73" t="str">
        <f t="shared" si="2"/>
        <v>N</v>
      </c>
      <c r="H73" t="s">
        <v>203</v>
      </c>
      <c r="I73" t="s">
        <v>173</v>
      </c>
      <c r="J73" t="s">
        <v>79</v>
      </c>
      <c r="K73" t="s">
        <v>5</v>
      </c>
      <c r="M73" s="3"/>
    </row>
    <row r="74" spans="1:14">
      <c r="A74" t="s">
        <v>245</v>
      </c>
      <c r="B74" t="s">
        <v>5</v>
      </c>
      <c r="C74" t="s">
        <v>83</v>
      </c>
      <c r="D74" t="s">
        <v>246</v>
      </c>
      <c r="E74" t="s">
        <v>107</v>
      </c>
      <c r="F74" t="s">
        <v>83</v>
      </c>
      <c r="G74" t="str">
        <f t="shared" si="2"/>
        <v>Y</v>
      </c>
      <c r="H74" t="s">
        <v>247</v>
      </c>
      <c r="I74" t="s">
        <v>118</v>
      </c>
      <c r="J74" t="s">
        <v>81</v>
      </c>
      <c r="K74" t="s">
        <v>42</v>
      </c>
      <c r="M74" s="3"/>
    </row>
    <row r="75" spans="1:14">
      <c r="A75" s="1" t="s">
        <v>95</v>
      </c>
      <c r="B75" t="s">
        <v>5</v>
      </c>
      <c r="C75" t="s">
        <v>107</v>
      </c>
      <c r="D75" t="s">
        <v>108</v>
      </c>
      <c r="E75" t="s">
        <v>107</v>
      </c>
      <c r="F75" t="s">
        <v>107</v>
      </c>
      <c r="G75" t="str">
        <f t="shared" si="2"/>
        <v>N</v>
      </c>
      <c r="H75" t="s">
        <v>128</v>
      </c>
      <c r="I75" t="s">
        <v>118</v>
      </c>
      <c r="J75" t="s">
        <v>80</v>
      </c>
      <c r="K75" t="s">
        <v>75</v>
      </c>
      <c r="M75" s="3"/>
      <c r="N75" s="3"/>
    </row>
    <row r="76" spans="1:14">
      <c r="A76" t="s">
        <v>248</v>
      </c>
      <c r="B76" t="s">
        <v>5</v>
      </c>
      <c r="C76" t="s">
        <v>83</v>
      </c>
      <c r="D76" t="s">
        <v>178</v>
      </c>
      <c r="E76" t="s">
        <v>107</v>
      </c>
      <c r="F76" t="s">
        <v>83</v>
      </c>
      <c r="G76" t="str">
        <f t="shared" si="2"/>
        <v>Y</v>
      </c>
      <c r="H76" t="s">
        <v>249</v>
      </c>
      <c r="I76" t="s">
        <v>173</v>
      </c>
      <c r="J76" t="s">
        <v>79</v>
      </c>
      <c r="K76" t="s">
        <v>5</v>
      </c>
      <c r="M76" s="3"/>
    </row>
    <row r="77" spans="1:14">
      <c r="A77" t="s">
        <v>251</v>
      </c>
      <c r="B77" t="s">
        <v>16</v>
      </c>
      <c r="C77" t="s">
        <v>107</v>
      </c>
      <c r="D77" t="s">
        <v>108</v>
      </c>
      <c r="E77" t="s">
        <v>107</v>
      </c>
      <c r="F77" t="s">
        <v>107</v>
      </c>
      <c r="G77" t="str">
        <f t="shared" si="2"/>
        <v>N</v>
      </c>
      <c r="H77" t="s">
        <v>252</v>
      </c>
      <c r="I77" t="s">
        <v>253</v>
      </c>
      <c r="J77" t="s">
        <v>80</v>
      </c>
      <c r="K77" t="s">
        <v>50</v>
      </c>
      <c r="M77" s="3"/>
    </row>
    <row r="78" spans="1:14">
      <c r="A78" t="s">
        <v>259</v>
      </c>
      <c r="B78" t="s">
        <v>4</v>
      </c>
      <c r="C78" t="s">
        <v>83</v>
      </c>
      <c r="D78" t="s">
        <v>180</v>
      </c>
      <c r="E78" t="s">
        <v>83</v>
      </c>
      <c r="F78" t="s">
        <v>83</v>
      </c>
      <c r="G78" t="str">
        <f t="shared" si="2"/>
        <v>Y</v>
      </c>
      <c r="H78" t="s">
        <v>117</v>
      </c>
      <c r="I78" t="s">
        <v>118</v>
      </c>
      <c r="J78" t="s">
        <v>80</v>
      </c>
      <c r="K78" t="s">
        <v>43</v>
      </c>
      <c r="M78" s="3"/>
    </row>
    <row r="79" spans="1:14">
      <c r="A79" t="s">
        <v>254</v>
      </c>
      <c r="B79" t="s">
        <v>4</v>
      </c>
      <c r="C79" t="s">
        <v>107</v>
      </c>
      <c r="D79" t="s">
        <v>108</v>
      </c>
      <c r="E79" t="s">
        <v>83</v>
      </c>
      <c r="F79" t="s">
        <v>83</v>
      </c>
      <c r="G79" t="str">
        <f t="shared" si="2"/>
        <v>Y</v>
      </c>
      <c r="H79" t="s">
        <v>117</v>
      </c>
      <c r="I79" t="s">
        <v>118</v>
      </c>
      <c r="J79" t="s">
        <v>80</v>
      </c>
      <c r="K79" t="s">
        <v>74</v>
      </c>
    </row>
    <row r="80" spans="1:14">
      <c r="A80" t="s">
        <v>257</v>
      </c>
      <c r="B80" t="s">
        <v>4</v>
      </c>
      <c r="C80" t="s">
        <v>107</v>
      </c>
      <c r="D80" t="s">
        <v>108</v>
      </c>
      <c r="E80" t="s">
        <v>107</v>
      </c>
      <c r="F80" t="s">
        <v>107</v>
      </c>
      <c r="G80" t="str">
        <f t="shared" si="2"/>
        <v>N</v>
      </c>
      <c r="H80" s="4" t="s">
        <v>258</v>
      </c>
      <c r="I80" t="s">
        <v>113</v>
      </c>
      <c r="J80" t="s">
        <v>80</v>
      </c>
      <c r="K80" t="s">
        <v>35</v>
      </c>
      <c r="M80" s="3"/>
    </row>
    <row r="81" spans="1:14">
      <c r="A81" t="s">
        <v>260</v>
      </c>
      <c r="B81" t="s">
        <v>4</v>
      </c>
      <c r="C81" t="s">
        <v>107</v>
      </c>
      <c r="D81" t="s">
        <v>108</v>
      </c>
      <c r="E81" t="s">
        <v>107</v>
      </c>
      <c r="F81" t="s">
        <v>107</v>
      </c>
      <c r="G81" t="str">
        <f t="shared" si="2"/>
        <v>N</v>
      </c>
      <c r="H81" t="s">
        <v>172</v>
      </c>
      <c r="I81" t="s">
        <v>173</v>
      </c>
      <c r="J81" t="s">
        <v>79</v>
      </c>
      <c r="K81" t="s">
        <v>43</v>
      </c>
      <c r="M81" s="3"/>
    </row>
    <row r="82" spans="1:14">
      <c r="A82" t="s">
        <v>261</v>
      </c>
      <c r="B82" t="s">
        <v>4</v>
      </c>
      <c r="C82" t="s">
        <v>107</v>
      </c>
      <c r="D82" t="s">
        <v>108</v>
      </c>
      <c r="E82" t="s">
        <v>107</v>
      </c>
      <c r="F82" t="s">
        <v>107</v>
      </c>
      <c r="G82" t="str">
        <f t="shared" si="2"/>
        <v>N</v>
      </c>
      <c r="H82" t="s">
        <v>262</v>
      </c>
      <c r="I82" t="s">
        <v>263</v>
      </c>
      <c r="J82" t="s">
        <v>80</v>
      </c>
      <c r="K82" t="s">
        <v>3</v>
      </c>
    </row>
    <row r="83" spans="1:14">
      <c r="A83" t="s">
        <v>255</v>
      </c>
      <c r="B83" t="s">
        <v>4</v>
      </c>
      <c r="C83" t="s">
        <v>83</v>
      </c>
      <c r="D83" t="s">
        <v>171</v>
      </c>
      <c r="E83" t="s">
        <v>83</v>
      </c>
      <c r="F83" t="s">
        <v>83</v>
      </c>
      <c r="G83" t="str">
        <f t="shared" si="2"/>
        <v>Y</v>
      </c>
      <c r="H83" t="s">
        <v>117</v>
      </c>
      <c r="I83" t="s">
        <v>118</v>
      </c>
      <c r="J83" t="s">
        <v>79</v>
      </c>
      <c r="K83" t="s">
        <v>61</v>
      </c>
      <c r="M83" s="3"/>
    </row>
    <row r="84" spans="1:14">
      <c r="A84" t="s">
        <v>269</v>
      </c>
      <c r="B84" t="s">
        <v>3</v>
      </c>
      <c r="C84" t="s">
        <v>83</v>
      </c>
      <c r="D84" t="s">
        <v>270</v>
      </c>
      <c r="E84" t="s">
        <v>107</v>
      </c>
      <c r="F84" t="s">
        <v>83</v>
      </c>
      <c r="G84" t="str">
        <f t="shared" si="2"/>
        <v>Y</v>
      </c>
      <c r="H84" t="s">
        <v>271</v>
      </c>
      <c r="I84" t="s">
        <v>118</v>
      </c>
      <c r="J84" t="s">
        <v>80</v>
      </c>
      <c r="K84" t="s">
        <v>1</v>
      </c>
      <c r="M84" s="3"/>
    </row>
    <row r="85" spans="1:14">
      <c r="A85" s="1" t="s">
        <v>93</v>
      </c>
      <c r="B85" t="s">
        <v>3</v>
      </c>
      <c r="C85" t="s">
        <v>107</v>
      </c>
      <c r="D85" t="s">
        <v>108</v>
      </c>
      <c r="E85" t="s">
        <v>83</v>
      </c>
      <c r="F85" t="s">
        <v>107</v>
      </c>
      <c r="G85" t="str">
        <f t="shared" si="2"/>
        <v>Y</v>
      </c>
      <c r="H85" t="s">
        <v>117</v>
      </c>
      <c r="I85" t="s">
        <v>118</v>
      </c>
      <c r="J85" t="s">
        <v>81</v>
      </c>
      <c r="K85" t="s">
        <v>71</v>
      </c>
      <c r="M85" s="3"/>
    </row>
    <row r="86" spans="1:14">
      <c r="A86" t="s">
        <v>264</v>
      </c>
      <c r="B86" t="s">
        <v>3</v>
      </c>
      <c r="C86" t="s">
        <v>107</v>
      </c>
      <c r="D86" t="s">
        <v>108</v>
      </c>
      <c r="E86" t="s">
        <v>107</v>
      </c>
      <c r="F86" t="s">
        <v>107</v>
      </c>
      <c r="G86" t="str">
        <f t="shared" si="2"/>
        <v>N</v>
      </c>
      <c r="H86" t="s">
        <v>265</v>
      </c>
      <c r="I86" t="s">
        <v>266</v>
      </c>
      <c r="J86" t="s">
        <v>80</v>
      </c>
      <c r="K86" t="s">
        <v>49</v>
      </c>
      <c r="M86" s="3"/>
    </row>
    <row r="87" spans="1:14">
      <c r="A87" t="s">
        <v>273</v>
      </c>
      <c r="B87" t="s">
        <v>3</v>
      </c>
      <c r="C87" t="s">
        <v>83</v>
      </c>
      <c r="D87" t="s">
        <v>148</v>
      </c>
      <c r="E87" t="s">
        <v>107</v>
      </c>
      <c r="F87" t="s">
        <v>107</v>
      </c>
      <c r="G87" t="str">
        <f t="shared" si="2"/>
        <v>N</v>
      </c>
      <c r="H87" t="s">
        <v>274</v>
      </c>
      <c r="I87" t="s">
        <v>173</v>
      </c>
      <c r="J87" t="s">
        <v>79</v>
      </c>
      <c r="K87" t="s">
        <v>73</v>
      </c>
      <c r="M87" s="3"/>
    </row>
    <row r="88" spans="1:14">
      <c r="A88" s="1" t="s">
        <v>86</v>
      </c>
      <c r="B88" t="s">
        <v>3</v>
      </c>
      <c r="C88" t="s">
        <v>83</v>
      </c>
      <c r="D88" t="s">
        <v>148</v>
      </c>
      <c r="E88" t="s">
        <v>83</v>
      </c>
      <c r="F88" t="s">
        <v>107</v>
      </c>
      <c r="G88" t="str">
        <f t="shared" si="2"/>
        <v>Y</v>
      </c>
      <c r="H88" t="s">
        <v>117</v>
      </c>
      <c r="I88" t="s">
        <v>118</v>
      </c>
      <c r="J88" t="s">
        <v>80</v>
      </c>
      <c r="K88" t="s">
        <v>77</v>
      </c>
      <c r="M88" s="3"/>
    </row>
    <row r="89" spans="1:14">
      <c r="A89" t="s">
        <v>272</v>
      </c>
      <c r="B89" t="s">
        <v>3</v>
      </c>
      <c r="C89" t="s">
        <v>107</v>
      </c>
      <c r="D89" t="s">
        <v>108</v>
      </c>
      <c r="E89" t="s">
        <v>83</v>
      </c>
      <c r="F89" t="s">
        <v>83</v>
      </c>
      <c r="G89" t="str">
        <f t="shared" si="2"/>
        <v>Y</v>
      </c>
      <c r="H89" t="s">
        <v>117</v>
      </c>
      <c r="I89" t="s">
        <v>118</v>
      </c>
      <c r="J89" t="s">
        <v>80</v>
      </c>
      <c r="K89" t="s">
        <v>40</v>
      </c>
      <c r="M89" s="3"/>
    </row>
    <row r="90" spans="1:14">
      <c r="A90" t="s">
        <v>267</v>
      </c>
      <c r="B90" t="s">
        <v>3</v>
      </c>
      <c r="C90" t="s">
        <v>83</v>
      </c>
      <c r="D90" t="s">
        <v>150</v>
      </c>
      <c r="E90" t="s">
        <v>107</v>
      </c>
      <c r="F90" t="s">
        <v>83</v>
      </c>
      <c r="G90" t="str">
        <f t="shared" si="2"/>
        <v>Y</v>
      </c>
      <c r="H90" t="s">
        <v>153</v>
      </c>
      <c r="I90" t="s">
        <v>118</v>
      </c>
      <c r="J90" t="s">
        <v>80</v>
      </c>
      <c r="K90" t="s">
        <v>44</v>
      </c>
      <c r="M90" s="3"/>
    </row>
    <row r="91" spans="1:14">
      <c r="A91" t="s">
        <v>279</v>
      </c>
      <c r="B91" t="s">
        <v>3</v>
      </c>
      <c r="C91" t="s">
        <v>83</v>
      </c>
      <c r="D91" t="s">
        <v>280</v>
      </c>
      <c r="E91" t="s">
        <v>107</v>
      </c>
      <c r="F91" t="s">
        <v>107</v>
      </c>
      <c r="G91" t="str">
        <f t="shared" si="2"/>
        <v>N</v>
      </c>
      <c r="H91" t="s">
        <v>70</v>
      </c>
      <c r="I91" t="s">
        <v>113</v>
      </c>
      <c r="J91" t="s">
        <v>79</v>
      </c>
      <c r="K91" t="s">
        <v>3</v>
      </c>
    </row>
    <row r="92" spans="1:14">
      <c r="A92" t="s">
        <v>268</v>
      </c>
      <c r="B92" t="s">
        <v>3</v>
      </c>
      <c r="C92" t="s">
        <v>83</v>
      </c>
      <c r="D92" t="s">
        <v>148</v>
      </c>
      <c r="E92" t="s">
        <v>107</v>
      </c>
      <c r="F92" t="s">
        <v>107</v>
      </c>
      <c r="G92" t="str">
        <f t="shared" si="2"/>
        <v>N</v>
      </c>
      <c r="H92" t="s">
        <v>136</v>
      </c>
      <c r="I92" t="s">
        <v>118</v>
      </c>
      <c r="J92" t="s">
        <v>80</v>
      </c>
      <c r="K92" t="s">
        <v>1</v>
      </c>
      <c r="M92" s="3"/>
    </row>
    <row r="93" spans="1:14">
      <c r="A93" s="1" t="s">
        <v>85</v>
      </c>
      <c r="B93" t="s">
        <v>3</v>
      </c>
      <c r="C93" t="s">
        <v>83</v>
      </c>
      <c r="D93" t="s">
        <v>155</v>
      </c>
      <c r="E93" t="s">
        <v>107</v>
      </c>
      <c r="F93" t="s">
        <v>107</v>
      </c>
      <c r="G93" t="str">
        <f t="shared" si="2"/>
        <v>N</v>
      </c>
      <c r="H93" t="s">
        <v>278</v>
      </c>
      <c r="I93" t="s">
        <v>118</v>
      </c>
      <c r="J93" t="s">
        <v>80</v>
      </c>
      <c r="K93" t="s">
        <v>3</v>
      </c>
      <c r="M93" s="3"/>
      <c r="N93" s="3"/>
    </row>
    <row r="94" spans="1:14">
      <c r="A94" t="s">
        <v>275</v>
      </c>
      <c r="B94" t="s">
        <v>3</v>
      </c>
      <c r="C94" t="s">
        <v>83</v>
      </c>
      <c r="D94" t="s">
        <v>171</v>
      </c>
      <c r="E94" t="s">
        <v>107</v>
      </c>
      <c r="F94" t="s">
        <v>107</v>
      </c>
      <c r="G94" t="str">
        <f t="shared" si="2"/>
        <v>N</v>
      </c>
      <c r="H94" t="s">
        <v>276</v>
      </c>
      <c r="I94" t="s">
        <v>277</v>
      </c>
      <c r="J94" t="s">
        <v>80</v>
      </c>
      <c r="K94" t="s">
        <v>42</v>
      </c>
      <c r="M94" s="3"/>
    </row>
    <row r="95" spans="1:14">
      <c r="A95" t="s">
        <v>281</v>
      </c>
      <c r="B95" t="s">
        <v>23</v>
      </c>
      <c r="C95" t="s">
        <v>107</v>
      </c>
      <c r="D95" t="s">
        <v>108</v>
      </c>
      <c r="E95" t="s">
        <v>107</v>
      </c>
      <c r="F95" t="s">
        <v>107</v>
      </c>
      <c r="G95" t="str">
        <f t="shared" si="2"/>
        <v>N</v>
      </c>
      <c r="H95" t="s">
        <v>282</v>
      </c>
      <c r="I95" t="s">
        <v>140</v>
      </c>
      <c r="J95" t="s">
        <v>80</v>
      </c>
      <c r="K95" t="s">
        <v>23</v>
      </c>
      <c r="M95" s="3"/>
    </row>
    <row r="96" spans="1:14">
      <c r="A96" t="s">
        <v>283</v>
      </c>
      <c r="B96" t="s">
        <v>9</v>
      </c>
      <c r="C96" t="s">
        <v>107</v>
      </c>
      <c r="D96" t="s">
        <v>108</v>
      </c>
      <c r="E96" t="s">
        <v>107</v>
      </c>
      <c r="F96" t="s">
        <v>107</v>
      </c>
      <c r="G96" t="str">
        <f t="shared" si="2"/>
        <v>N</v>
      </c>
      <c r="H96" t="s">
        <v>289</v>
      </c>
      <c r="I96" t="s">
        <v>290</v>
      </c>
      <c r="J96" t="s">
        <v>79</v>
      </c>
      <c r="K96" t="s">
        <v>55</v>
      </c>
    </row>
    <row r="97" spans="1:11">
      <c r="A97" s="5" t="s">
        <v>284</v>
      </c>
      <c r="B97" t="s">
        <v>3</v>
      </c>
      <c r="C97" t="s">
        <v>107</v>
      </c>
      <c r="D97" t="s">
        <v>108</v>
      </c>
      <c r="E97" t="s">
        <v>107</v>
      </c>
      <c r="F97" t="s">
        <v>107</v>
      </c>
      <c r="G97" t="str">
        <f t="shared" si="2"/>
        <v>N</v>
      </c>
      <c r="H97" t="s">
        <v>291</v>
      </c>
      <c r="I97" t="s">
        <v>118</v>
      </c>
      <c r="J97" t="s">
        <v>80</v>
      </c>
      <c r="K97" t="s">
        <v>3</v>
      </c>
    </row>
    <row r="98" spans="1:11">
      <c r="A98" s="5" t="s">
        <v>285</v>
      </c>
      <c r="B98" t="s">
        <v>4</v>
      </c>
      <c r="C98" t="s">
        <v>107</v>
      </c>
      <c r="D98" t="s">
        <v>108</v>
      </c>
      <c r="E98" t="s">
        <v>107</v>
      </c>
      <c r="F98" t="s">
        <v>107</v>
      </c>
      <c r="G98" t="str">
        <f t="shared" si="2"/>
        <v>N</v>
      </c>
      <c r="H98" t="s">
        <v>153</v>
      </c>
      <c r="I98" t="s">
        <v>118</v>
      </c>
      <c r="J98" t="s">
        <v>79</v>
      </c>
      <c r="K98" t="s">
        <v>11</v>
      </c>
    </row>
    <row r="99" spans="1:11">
      <c r="A99" t="s">
        <v>286</v>
      </c>
      <c r="B99" t="s">
        <v>8</v>
      </c>
      <c r="C99" t="s">
        <v>107</v>
      </c>
      <c r="D99" t="s">
        <v>108</v>
      </c>
      <c r="E99" t="s">
        <v>107</v>
      </c>
      <c r="F99" t="s">
        <v>107</v>
      </c>
      <c r="G99" t="str">
        <f t="shared" si="2"/>
        <v>N</v>
      </c>
      <c r="H99" t="s">
        <v>292</v>
      </c>
      <c r="I99" t="s">
        <v>140</v>
      </c>
      <c r="J99" t="s">
        <v>79</v>
      </c>
      <c r="K99" t="s">
        <v>38</v>
      </c>
    </row>
    <row r="100" spans="1:11">
      <c r="A100" s="5" t="s">
        <v>287</v>
      </c>
      <c r="B100" t="s">
        <v>1</v>
      </c>
      <c r="C100" t="s">
        <v>83</v>
      </c>
      <c r="D100" t="s">
        <v>270</v>
      </c>
      <c r="E100" t="s">
        <v>83</v>
      </c>
      <c r="F100" t="s">
        <v>107</v>
      </c>
      <c r="G100" t="str">
        <f t="shared" si="2"/>
        <v>Y</v>
      </c>
      <c r="H100" t="s">
        <v>117</v>
      </c>
      <c r="I100" t="s">
        <v>118</v>
      </c>
      <c r="J100" t="s">
        <v>80</v>
      </c>
      <c r="K100" t="s">
        <v>293</v>
      </c>
    </row>
    <row r="101" spans="1:11">
      <c r="A101" s="5" t="s">
        <v>288</v>
      </c>
      <c r="B101" t="s">
        <v>294</v>
      </c>
      <c r="C101" t="s">
        <v>83</v>
      </c>
      <c r="D101" t="s">
        <v>155</v>
      </c>
      <c r="E101" t="s">
        <v>107</v>
      </c>
      <c r="F101" t="s">
        <v>83</v>
      </c>
      <c r="G101" t="str">
        <f t="shared" si="2"/>
        <v>Y</v>
      </c>
      <c r="H101" t="s">
        <v>128</v>
      </c>
      <c r="I101" t="s">
        <v>118</v>
      </c>
      <c r="J101" t="s">
        <v>80</v>
      </c>
      <c r="K101" t="s">
        <v>1</v>
      </c>
    </row>
    <row r="102" spans="1:11">
      <c r="A102" s="5"/>
    </row>
  </sheetData>
  <sortState xmlns:xlrd2="http://schemas.microsoft.com/office/spreadsheetml/2017/richdata2" ref="A2:K96">
    <sortCondition ref="B2:B96"/>
    <sortCondition ref="A2:A96"/>
  </sortState>
  <phoneticPr fontId="1" type="noConversion"/>
  <hyperlinks>
    <hyperlink ref="O45" r:id="rId1" xr:uid="{74082985-A092-4A3A-915D-0665AE5DD7E6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Attorney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Vikram Narasimhan</dc:creator>
  <cp:keywords/>
  <dc:description/>
  <cp:lastModifiedBy>Vikram Narasimhan</cp:lastModifiedBy>
  <cp:revision/>
  <dcterms:created xsi:type="dcterms:W3CDTF">2024-05-25T23:43:38Z</dcterms:created>
  <dcterms:modified xsi:type="dcterms:W3CDTF">2024-06-10T18:32:11Z</dcterms:modified>
  <cp:category/>
  <cp:contentStatus/>
</cp:coreProperties>
</file>